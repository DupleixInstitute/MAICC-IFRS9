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ents" sheetId="1" state="visible" r:id="rId1"/>
    <sheet xmlns:r="http://schemas.openxmlformats.org/officeDocument/2006/relationships" name="Audit" sheetId="2" state="visible" r:id="rId2"/>
    <sheet xmlns:r="http://schemas.openxmlformats.org/officeDocument/2006/relationships" name="Findings" sheetId="3" state="visible" r:id="rId3"/>
    <sheet xmlns:r="http://schemas.openxmlformats.org/officeDocument/2006/relationships" name="Baselines" sheetId="4" state="visible" r:id="rId4"/>
  </sheets>
  <definedNames>
    <definedName name="_xlnm._FilterDatabase" localSheetId="1" hidden="1">'Audit'!$A$4:$K$28</definedName>
    <definedName name="_xlnm.Print_Titles" localSheetId="1">'Audit'!$4:$4</definedName>
    <definedName name="_xlnm.Print_Titles" localSheetId="2">'Findings'!$4:$4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0B2B1A"/>
      <sz val="13"/>
    </font>
    <font>
      <name val="Arial"/>
      <i val="1"/>
      <color rgb="00595959"/>
      <sz val="9"/>
    </font>
    <font>
      <name val="Arial"/>
      <color rgb="000563C1"/>
      <sz val="9"/>
      <u val="single"/>
    </font>
    <font>
      <name val="Arial"/>
      <b val="1"/>
      <color rgb="00FFFFFF"/>
      <sz val="10"/>
    </font>
    <font>
      <name val="Arial"/>
      <b val="1"/>
      <color rgb="000B2B1A"/>
      <sz val="10"/>
    </font>
    <font>
      <name val="Arial"/>
      <sz val="9"/>
    </font>
    <font>
      <name val="Arial"/>
      <b val="1"/>
      <sz val="9"/>
    </font>
    <font>
      <name val="Arial"/>
      <b val="1"/>
      <color rgb="000B2B1A"/>
      <sz val="14"/>
    </font>
    <font>
      <name val="Arial"/>
      <i val="1"/>
      <color rgb="00595959"/>
      <sz val="8"/>
    </font>
  </fonts>
  <fills count="9">
    <fill>
      <patternFill/>
    </fill>
    <fill>
      <patternFill patternType="gray125"/>
    </fill>
    <fill>
      <patternFill patternType="solid">
        <fgColor rgb="000B2B1A"/>
      </patternFill>
    </fill>
    <fill>
      <patternFill patternType="solid">
        <fgColor rgb="00FBF0E4"/>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D9D9"/>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8" fillId="0" borderId="0" pivotButton="0" quotePrefix="0" xfId="0"/>
    <xf numFmtId="0" fontId="2" fillId="0" borderId="0" pivotButton="0" quotePrefix="0" xfId="0"/>
    <xf numFmtId="0" fontId="5" fillId="0" borderId="0" pivotButton="0" quotePrefix="0" xfId="0"/>
    <xf numFmtId="0" fontId="5" fillId="0" borderId="0" applyAlignment="1" pivotButton="0" quotePrefix="0" xfId="0">
      <alignment horizontal="center"/>
    </xf>
    <xf numFmtId="0" fontId="7" fillId="4" borderId="1" pivotButton="0" quotePrefix="0" xfId="0"/>
    <xf numFmtId="0" fontId="6" fillId="0" borderId="0" applyAlignment="1" pivotButton="0" quotePrefix="0" xfId="0">
      <alignment vertical="top" wrapText="1"/>
    </xf>
    <xf numFmtId="0" fontId="7" fillId="0" borderId="0" applyAlignment="1" pivotButton="0" quotePrefix="0" xfId="0">
      <alignment horizontal="center" vertical="top"/>
    </xf>
    <xf numFmtId="0" fontId="7" fillId="5" borderId="1" pivotButton="0" quotePrefix="0" xfId="0"/>
    <xf numFmtId="0" fontId="7" fillId="6" borderId="1" pivotButton="0" quotePrefix="0" xfId="0"/>
    <xf numFmtId="0" fontId="7" fillId="7" borderId="1" pivotButton="0" quotePrefix="0" xfId="0"/>
    <xf numFmtId="0" fontId="7" fillId="8" borderId="1" pivotButton="0" quotePrefix="0" xfId="0"/>
    <xf numFmtId="0" fontId="7" fillId="0" borderId="0" pivotButton="0" quotePrefix="0" xfId="0"/>
    <xf numFmtId="0" fontId="7" fillId="0" borderId="0" applyAlignment="1" pivotButton="0" quotePrefix="0" xfId="0">
      <alignment horizontal="center"/>
    </xf>
    <xf numFmtId="0" fontId="4" fillId="2" borderId="1" applyAlignment="1" pivotButton="0" quotePrefix="0" xfId="0">
      <alignment vertical="center" wrapText="1"/>
    </xf>
    <xf numFmtId="0" fontId="5" fillId="3" borderId="0" pivotButton="0" quotePrefix="0" xfId="0"/>
    <xf numFmtId="0" fontId="6" fillId="0" borderId="1" pivotButton="0" quotePrefix="0" xfId="0"/>
    <xf numFmtId="0" fontId="3" fillId="0" borderId="1" pivotButton="0" quotePrefix="0" xfId="0"/>
    <xf numFmtId="0" fontId="3" fillId="0" borderId="0" pivotButton="0" quotePrefix="0" xfId="0"/>
    <xf numFmtId="0" fontId="9" fillId="0" borderId="0" pivotButton="0" quotePrefix="0" xfId="0"/>
    <xf numFmtId="0" fontId="1" fillId="0" borderId="0" pivotButton="0" quotePrefix="0" xfId="0"/>
    <xf numFmtId="0" fontId="2" fillId="0" borderId="0"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0" borderId="1" applyAlignment="1" pivotButton="0" quotePrefix="0" xfId="0">
      <alignment vertical="top" wrapText="1"/>
    </xf>
    <xf numFmtId="4" fontId="6" fillId="0" borderId="1" applyAlignment="1" pivotButton="0" quotePrefix="0" xfId="0">
      <alignment vertical="top" wrapText="1"/>
    </xf>
    <xf numFmtId="0" fontId="7" fillId="0" borderId="1" pivotButton="0" quotePrefix="0" xfId="0"/>
  </cellXfs>
  <cellStyles count="1">
    <cellStyle name="Normal" xfId="0" builtinId="0" hidden="0"/>
  </cellStyles>
  <dxfs count="5">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9D9D9"/>
        </patternFill>
      </fill>
    </dxf>
    <dxf>
      <fill>
        <patternFill patternType="solid">
          <f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B8860B"/>
    <outlinePr summaryBelow="1" summaryRight="1"/>
    <pageSetUpPr fitToPage="1"/>
  </sheetPr>
  <dimension ref="A1:D41"/>
  <sheetViews>
    <sheetView showGridLines="0" workbookViewId="0">
      <pane ySplit="2" topLeftCell="A3" activePane="bottomLeft" state="frozen"/>
      <selection pane="bottomLeft" activeCell="A1" sqref="A1"/>
    </sheetView>
  </sheetViews>
  <sheetFormatPr baseColWidth="8" defaultRowHeight="15"/>
  <cols>
    <col width="30" customWidth="1" min="1" max="1"/>
    <col width="62" customWidth="1" min="2" max="2"/>
    <col width="30" customWidth="1" min="3" max="3"/>
    <col width="16" customWidth="1" min="4" max="4"/>
  </cols>
  <sheetData>
    <row r="1">
      <c r="A1" s="1" t="inlineStr">
        <is>
          <t>IFRS 9 - the EIR and amortised cost - compliance audit</t>
        </is>
      </c>
    </row>
    <row r="2">
      <c r="A2" s="2" t="inlineStr">
        <is>
          <t>Contents (the standard's own order of sections). Click a section to open its row on the Audit sheet.</t>
        </is>
      </c>
    </row>
    <row r="4">
      <c r="A4" s="3" t="inlineStr">
        <is>
          <t>Status definitions</t>
        </is>
      </c>
      <c r="C4" s="4" t="inlineStr">
        <is>
          <t>Sections</t>
        </is>
      </c>
    </row>
    <row r="5" ht="26" customHeight="1">
      <c r="A5" s="5" t="inlineStr">
        <is>
          <t>Done</t>
        </is>
      </c>
      <c r="B5" s="6" t="inlineStr">
        <is>
          <t>Implemented in the system and visible in an approved output; the test in column 11 fails if the behaviour changes.</t>
        </is>
      </c>
      <c r="C5" s="7">
        <f>COUNTIF(Audit!$D:$D,"Done")</f>
        <v/>
      </c>
    </row>
    <row r="6" ht="26" customHeight="1">
      <c r="A6" s="8" t="inlineStr">
        <is>
          <t>Partially done</t>
        </is>
      </c>
      <c r="B6" s="6" t="inlineStr">
        <is>
          <t>The mechanics are in place, but a parameter, an input or a piece of evidence still differs from the requirement.</t>
        </is>
      </c>
      <c r="C6" s="7">
        <f>COUNTIF(Audit!$D:$D,"Partially done")</f>
        <v/>
      </c>
    </row>
    <row r="7" ht="26" customHeight="1">
      <c r="A7" s="9" t="inlineStr">
        <is>
          <t>Outstanding</t>
        </is>
      </c>
      <c r="B7" s="6" t="inlineStr">
        <is>
          <t>Required for MAIIC and not built.</t>
        </is>
      </c>
      <c r="C7" s="7">
        <f>COUNTIF(Audit!$D:$D,"Outstanding")</f>
        <v/>
      </c>
    </row>
    <row r="8" ht="26" customHeight="1">
      <c r="A8" s="10" t="inlineStr">
        <is>
          <t>Not applicable, documented</t>
        </is>
      </c>
      <c r="B8" s="6" t="inlineStr">
        <is>
          <t>Does not apply to MAIIC by a recorded decision or fact (reason and reference given); revisit if the facts change.</t>
        </is>
      </c>
      <c r="C8" s="7">
        <f>COUNTIF(Audit!$D:$D,"Not applicable, documented")</f>
        <v/>
      </c>
    </row>
    <row r="9" ht="26" customHeight="1">
      <c r="A9" s="11" t="inlineStr">
        <is>
          <t>Evidence needed from MAIIC</t>
        </is>
      </c>
      <c r="B9" s="6" t="inlineStr">
        <is>
          <t>The system is ready; MAIIC must supply a document, minute or dataset before the row can be closed.</t>
        </is>
      </c>
      <c r="C9" s="7">
        <f>COUNTIF(Audit!$D:$D,"Evidence needed from MAIIC")</f>
        <v/>
      </c>
    </row>
    <row r="10">
      <c r="A10" s="12" t="inlineStr">
        <is>
          <t>Sections audited</t>
        </is>
      </c>
      <c r="C10" s="13">
        <f>COUNTA(Audit!$A$5:$A$28)-5</f>
        <v/>
      </c>
    </row>
    <row r="11">
      <c r="A11" s="12" t="inlineStr">
        <is>
          <t>Baselines passing</t>
        </is>
      </c>
      <c r="C11" s="13">
        <f>COUNTIF(Baselines!$E:$E,"PASS")&amp;" of "&amp;COUNTA(Baselines!$A$5:$A$500)</f>
        <v/>
      </c>
    </row>
    <row r="13">
      <c r="A13" s="14" t="inlineStr">
        <is>
          <t>Ref</t>
        </is>
      </c>
      <c r="B13" s="14" t="inlineStr">
        <is>
          <t>Section</t>
        </is>
      </c>
      <c r="C13" s="14" t="inlineStr">
        <is>
          <t>Status</t>
        </is>
      </c>
      <c r="D13" s="14" t="inlineStr">
        <is>
          <t>Open in Audit</t>
        </is>
      </c>
    </row>
    <row r="14">
      <c r="A14" s="15" t="inlineStr">
        <is>
          <t>APPENDIX A - DEFINED TERMS</t>
        </is>
      </c>
    </row>
    <row r="15">
      <c r="A15" s="16" t="inlineStr">
        <is>
          <t>A.EIR</t>
        </is>
      </c>
      <c r="B15" s="17" t="inlineStr">
        <is>
          <t>Effective interest rate</t>
        </is>
      </c>
      <c r="C15" s="16">
        <f>Audit!D6</f>
        <v/>
      </c>
      <c r="D15" s="17" t="inlineStr">
        <is>
          <t>Audit row 6</t>
        </is>
      </c>
    </row>
    <row r="16">
      <c r="A16" s="16" t="inlineStr">
        <is>
          <t>A.AC</t>
        </is>
      </c>
      <c r="B16" s="17" t="inlineStr">
        <is>
          <t>Amortised cost</t>
        </is>
      </c>
      <c r="C16" s="16">
        <f>Audit!D7</f>
        <v/>
      </c>
      <c r="D16" s="17" t="inlineStr">
        <is>
          <t>Audit row 7</t>
        </is>
      </c>
    </row>
    <row r="17">
      <c r="A17" s="16" t="inlineStr">
        <is>
          <t>A.GCA</t>
        </is>
      </c>
      <c r="B17" s="17" t="inlineStr">
        <is>
          <t>Gross carrying amount</t>
        </is>
      </c>
      <c r="C17" s="16">
        <f>Audit!D8</f>
        <v/>
      </c>
      <c r="D17" s="17" t="inlineStr">
        <is>
          <t>Audit row 8</t>
        </is>
      </c>
    </row>
    <row r="18">
      <c r="A18" s="15" t="inlineStr">
        <is>
          <t>5.4 AMORTISED COST MEASUREMENT</t>
        </is>
      </c>
    </row>
    <row r="19">
      <c r="A19" s="16" t="inlineStr">
        <is>
          <t>5.4.1</t>
        </is>
      </c>
      <c r="B19" s="17" t="inlineStr">
        <is>
          <t>Interest revenue at the effective interest rate</t>
        </is>
      </c>
      <c r="C19" s="16">
        <f>Audit!D10</f>
        <v/>
      </c>
      <c r="D19" s="17" t="inlineStr">
        <is>
          <t>Audit row 10</t>
        </is>
      </c>
    </row>
    <row r="20">
      <c r="A20" s="16" t="inlineStr">
        <is>
          <t>5.4.1(a)</t>
        </is>
      </c>
      <c r="B20" s="17" t="inlineStr">
        <is>
          <t>Purchased or originated credit-impaired assets</t>
        </is>
      </c>
      <c r="C20" s="16">
        <f>Audit!D11</f>
        <v/>
      </c>
      <c r="D20" s="17" t="inlineStr">
        <is>
          <t>Audit row 11</t>
        </is>
      </c>
    </row>
    <row r="21">
      <c r="A21" s="16" t="inlineStr">
        <is>
          <t>5.4.2</t>
        </is>
      </c>
      <c r="B21" s="17" t="inlineStr">
        <is>
          <t>Cure of a credit-impaired asset</t>
        </is>
      </c>
      <c r="C21" s="16">
        <f>Audit!D12</f>
        <v/>
      </c>
      <c r="D21" s="17" t="inlineStr">
        <is>
          <t>Audit row 12</t>
        </is>
      </c>
    </row>
    <row r="22">
      <c r="A22" s="16" t="inlineStr">
        <is>
          <t>5.4.3</t>
        </is>
      </c>
      <c r="B22" s="17" t="inlineStr">
        <is>
          <t>Modification of contractual cash flows</t>
        </is>
      </c>
      <c r="C22" s="16">
        <f>Audit!D13</f>
        <v/>
      </c>
      <c r="D22" s="17" t="inlineStr">
        <is>
          <t>Audit row 13</t>
        </is>
      </c>
    </row>
    <row r="23">
      <c r="A23" s="16" t="inlineStr">
        <is>
          <t>5.4.4</t>
        </is>
      </c>
      <c r="B23" s="17" t="inlineStr">
        <is>
          <t>Write-off</t>
        </is>
      </c>
      <c r="C23" s="16">
        <f>Audit!D14</f>
        <v/>
      </c>
      <c r="D23" s="17" t="inlineStr">
        <is>
          <t>Audit row 14</t>
        </is>
      </c>
    </row>
    <row r="24">
      <c r="A24" s="15" t="inlineStr">
        <is>
          <t>B5.4 EFFECTIVE INTEREST METHOD</t>
        </is>
      </c>
    </row>
    <row r="25">
      <c r="A25" s="16" t="inlineStr">
        <is>
          <t>B5.4.1</t>
        </is>
      </c>
      <c r="B25" s="17" t="inlineStr">
        <is>
          <t>Fees that are an integral part of the EIR</t>
        </is>
      </c>
      <c r="C25" s="16">
        <f>Audit!D16</f>
        <v/>
      </c>
      <c r="D25" s="17" t="inlineStr">
        <is>
          <t>Audit row 16</t>
        </is>
      </c>
    </row>
    <row r="26">
      <c r="A26" s="16" t="inlineStr">
        <is>
          <t>B5.4.2</t>
        </is>
      </c>
      <c r="B26" s="17" t="inlineStr">
        <is>
          <t>Fees that are not an integral part of the EIR</t>
        </is>
      </c>
      <c r="C26" s="16">
        <f>Audit!D17</f>
        <v/>
      </c>
      <c r="D26" s="17" t="inlineStr">
        <is>
          <t>Audit row 17</t>
        </is>
      </c>
    </row>
    <row r="27">
      <c r="A27" s="16" t="inlineStr">
        <is>
          <t>B5.4.3</t>
        </is>
      </c>
      <c r="B27" s="17" t="inlineStr">
        <is>
          <t>Expected life and the cash flows considered</t>
        </is>
      </c>
      <c r="C27" s="16">
        <f>Audit!D18</f>
        <v/>
      </c>
      <c r="D27" s="17" t="inlineStr">
        <is>
          <t>Audit row 18</t>
        </is>
      </c>
    </row>
    <row r="28">
      <c r="A28" s="16" t="inlineStr">
        <is>
          <t>B5.4.4</t>
        </is>
      </c>
      <c r="B28" s="17" t="inlineStr">
        <is>
          <t>Floating-rate instruments</t>
        </is>
      </c>
      <c r="C28" s="16">
        <f>Audit!D19</f>
        <v/>
      </c>
      <c r="D28" s="17" t="inlineStr">
        <is>
          <t>Audit row 19</t>
        </is>
      </c>
    </row>
    <row r="29">
      <c r="A29" s="16" t="inlineStr">
        <is>
          <t>B5.4.5</t>
        </is>
      </c>
      <c r="B29" s="17" t="inlineStr">
        <is>
          <t>Re-estimation of payments or receipts (not a modification)</t>
        </is>
      </c>
      <c r="C29" s="16">
        <f>Audit!D20</f>
        <v/>
      </c>
      <c r="D29" s="17" t="inlineStr">
        <is>
          <t>Audit row 20</t>
        </is>
      </c>
    </row>
    <row r="30">
      <c r="A30" s="16" t="inlineStr">
        <is>
          <t>B5.4.6</t>
        </is>
      </c>
      <c r="B30" s="17" t="inlineStr">
        <is>
          <t>Modification: recalculate at the original EIR</t>
        </is>
      </c>
      <c r="C30" s="16">
        <f>Audit!D21</f>
        <v/>
      </c>
      <c r="D30" s="17" t="inlineStr">
        <is>
          <t>Audit row 21</t>
        </is>
      </c>
    </row>
    <row r="31">
      <c r="A31" s="16" t="inlineStr">
        <is>
          <t>B5.4.7</t>
        </is>
      </c>
      <c r="B31" s="17" t="inlineStr">
        <is>
          <t>Interest on a credit-impaired asset</t>
        </is>
      </c>
      <c r="C31" s="16">
        <f>Audit!D22</f>
        <v/>
      </c>
      <c r="D31" s="17" t="inlineStr">
        <is>
          <t>Audit row 22</t>
        </is>
      </c>
    </row>
    <row r="32">
      <c r="A32" s="15" t="inlineStr">
        <is>
          <t>3.3 DERECOGNITION</t>
        </is>
      </c>
    </row>
    <row r="33">
      <c r="A33" s="16" t="inlineStr">
        <is>
          <t>3.3.2</t>
        </is>
      </c>
      <c r="B33" s="17" t="inlineStr">
        <is>
          <t>Extinguishment and substantial modification</t>
        </is>
      </c>
      <c r="C33" s="16">
        <f>Audit!D24</f>
        <v/>
      </c>
      <c r="D33" s="17" t="inlineStr">
        <is>
          <t>Audit row 24</t>
        </is>
      </c>
    </row>
    <row r="34">
      <c r="A34" s="16" t="inlineStr">
        <is>
          <t>B3.3.6</t>
        </is>
      </c>
      <c r="B34" s="17" t="inlineStr">
        <is>
          <t>The 10 percent test</t>
        </is>
      </c>
      <c r="C34" s="16">
        <f>Audit!D25</f>
        <v/>
      </c>
      <c r="D34" s="17" t="inlineStr">
        <is>
          <t>Audit row 25</t>
        </is>
      </c>
    </row>
    <row r="35">
      <c r="A35" s="15" t="inlineStr">
        <is>
          <t>THE RECORD AND ITS PROOF</t>
        </is>
      </c>
    </row>
    <row r="36">
      <c r="A36" s="16" t="inlineStr">
        <is>
          <t>S9</t>
        </is>
      </c>
      <c r="B36" s="17" t="inlineStr">
        <is>
          <t>The ledger as the primary record</t>
        </is>
      </c>
      <c r="C36" s="16">
        <f>Audit!D27</f>
        <v/>
      </c>
      <c r="D36" s="17" t="inlineStr">
        <is>
          <t>Audit row 27</t>
        </is>
      </c>
    </row>
    <row r="37">
      <c r="A37" s="16" t="inlineStr">
        <is>
          <t>S4</t>
        </is>
      </c>
      <c r="B37" s="17" t="inlineStr">
        <is>
          <t>Governed conventions under maker-checker</t>
        </is>
      </c>
      <c r="C37" s="16">
        <f>Audit!D28</f>
        <v/>
      </c>
      <c r="D37" s="17" t="inlineStr">
        <is>
          <t>Audit row 28</t>
        </is>
      </c>
    </row>
    <row r="39">
      <c r="A39" s="18" t="inlineStr">
        <is>
          <t>Findings that need a decision or a fix: see the 'Findings' sheet</t>
        </is>
      </c>
    </row>
    <row r="40">
      <c r="A40" s="18" t="inlineStr">
        <is>
          <t>The acceptance ties read from the system: see the 'Baselines' sheet</t>
        </is>
      </c>
    </row>
    <row r="41">
      <c r="A41" s="19" t="inlineStr">
        <is>
          <t>Source: IFRS 9 Financial Instruments as issued by the IASB, Appendix A (defined terms), section 5.4 (amortised cost measurement), B5.4.1 to B5.4.7 (effective interest method), 5.4.3 and B5.4.6 (modification), 3.3.2 and B3.3.6 (derecognition). Specification: docs/MAIIC_EIR_Engine_Specification_v4_2026-10-07.md sections 3, 4.2, 6, 7.</t>
        </is>
      </c>
    </row>
  </sheetData>
  <mergeCells count="5">
    <mergeCell ref="A18:D18"/>
    <mergeCell ref="A35:D35"/>
    <mergeCell ref="A24:D24"/>
    <mergeCell ref="A32:D32"/>
    <mergeCell ref="A14:D14"/>
  </mergeCells>
  <conditionalFormatting sqref="C14:C38">
    <cfRule type="expression" priority="1" dxfId="0">
      <formula>$C14="Done"</formula>
    </cfRule>
    <cfRule type="expression" priority="2" dxfId="1">
      <formula>$C14="Partially done"</formula>
    </cfRule>
    <cfRule type="expression" priority="3" dxfId="2">
      <formula>$C14="Outstanding"</formula>
    </cfRule>
    <cfRule type="expression" priority="4" dxfId="3">
      <formula>$C14="Not applicable, documented"</formula>
    </cfRule>
    <cfRule type="expression" priority="5" dxfId="4">
      <formula>$C14="Evidence needed from MAIIC"</formula>
    </cfRule>
  </conditionalFormatting>
  <hyperlinks>
    <hyperlink ref="B15" location="'Audit'!A6" display="Effective interest rate"/>
    <hyperlink ref="D15" location="'Audit'!A6" display="Audit row 6"/>
    <hyperlink ref="B16" location="'Audit'!A7" display="Amortised cost"/>
    <hyperlink ref="D16" location="'Audit'!A7" display="Audit row 7"/>
    <hyperlink ref="B17" location="'Audit'!A8" display="Gross carrying amount"/>
    <hyperlink ref="D17" location="'Audit'!A8" display="Audit row 8"/>
    <hyperlink ref="B19" location="'Audit'!A10" display="Interest revenue at the effective interest rate"/>
    <hyperlink ref="D19" location="'Audit'!A10" display="Audit row 10"/>
    <hyperlink ref="B20" location="'Audit'!A11" display="Purchased or originated credit-impaired assets"/>
    <hyperlink ref="D20" location="'Audit'!A11" display="Audit row 11"/>
    <hyperlink ref="B21" location="'Audit'!A12" display="Cure of a credit-impaired asset"/>
    <hyperlink ref="D21" location="'Audit'!A12" display="Audit row 12"/>
    <hyperlink ref="B22" location="'Audit'!A13" display="Modification of contractual cash flows"/>
    <hyperlink ref="D22" location="'Audit'!A13" display="Audit row 13"/>
    <hyperlink ref="B23" location="'Audit'!A14" display="Write-off"/>
    <hyperlink ref="D23" location="'Audit'!A14" display="Audit row 14"/>
    <hyperlink ref="B25" location="'Audit'!A16" display="Fees that are an integral part of the EIR"/>
    <hyperlink ref="D25" location="'Audit'!A16" display="Audit row 16"/>
    <hyperlink ref="B26" location="'Audit'!A17" display="Fees that are not an integral part of the EIR"/>
    <hyperlink ref="D26" location="'Audit'!A17" display="Audit row 17"/>
    <hyperlink ref="B27" location="'Audit'!A18" display="Expected life and the cash flows considered"/>
    <hyperlink ref="D27" location="'Audit'!A18" display="Audit row 18"/>
    <hyperlink ref="B28" location="'Audit'!A19" display="Floating-rate instruments"/>
    <hyperlink ref="D28" location="'Audit'!A19" display="Audit row 19"/>
    <hyperlink ref="B29" location="'Audit'!A20" display="Re-estimation of payments or receipts (not a modification)"/>
    <hyperlink ref="D29" location="'Audit'!A20" display="Audit row 20"/>
    <hyperlink ref="B30" location="'Audit'!A21" display="Modification: recalculate at the original EIR"/>
    <hyperlink ref="D30" location="'Audit'!A21" display="Audit row 21"/>
    <hyperlink ref="B31" location="'Audit'!A22" display="Interest on a credit-impaired asset"/>
    <hyperlink ref="D31" location="'Audit'!A22" display="Audit row 22"/>
    <hyperlink ref="B33" location="'Audit'!A24" display="Extinguishment and substantial modification"/>
    <hyperlink ref="D33" location="'Audit'!A24" display="Audit row 24"/>
    <hyperlink ref="B34" location="'Audit'!A25" display="The 10 percent test"/>
    <hyperlink ref="D34" location="'Audit'!A25" display="Audit row 25"/>
    <hyperlink ref="B36" location="'Audit'!A27" display="The ledger as the primary record"/>
    <hyperlink ref="D36" location="'Audit'!A27" display="Audit row 27"/>
    <hyperlink ref="B37" location="'Audit'!A28" display="Governed conventions under maker-checker"/>
    <hyperlink ref="D37" location="'Audit'!A28" display="Audit row 28"/>
    <hyperlink ref="A39" location="'Findings'!A1" display="Findings that need a decision or a fix: see the 'Findings' sheet"/>
    <hyperlink ref="A40" location="'Baselines'!A1" display="The acceptance ties read from the system: see the 'Baselines' sheet"/>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0B2B1A"/>
    <outlinePr summaryBelow="1" summaryRight="1"/>
    <pageSetUpPr fitToPage="1"/>
  </sheetPr>
  <dimension ref="A1:K2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56" customWidth="1" min="3" max="3"/>
    <col width="22" customWidth="1" min="4" max="4"/>
    <col width="58" customWidth="1" min="5" max="5"/>
    <col width="36" customWidth="1" min="6" max="6"/>
    <col width="42" customWidth="1" min="7" max="7"/>
    <col width="46" customWidth="1" min="8" max="8"/>
    <col width="20" customWidth="1" min="9" max="9"/>
    <col width="30" customWidth="1" min="10" max="10"/>
    <col width="44" customWidth="1" min="11" max="11"/>
  </cols>
  <sheetData>
    <row r="1">
      <c r="A1" s="20" t="inlineStr">
        <is>
          <t>IFRS 9 Financial Instruments - the effective interest rate, amortised cost and the gross carrying amount (Appendix A, 5.4, B5.4, 5.4.3 and B5.4.6, 3.3.2 and B3.3.6) - compliance audit</t>
        </is>
      </c>
    </row>
    <row r="2" ht="30" customHeight="1">
      <c r="A2" s="21" t="inlineStr">
        <is>
          <t>Malawi Agricultural and Industrial Investment Company (MAIIC) - IFRS 9 EIR and ECL system - build of 8 October 2026 against specification v4. Prepared 8 October 2026 from the build of specification v4 (commits 32e7d99 to c6353ff): the clean install of eir:bootstrap, the Governance Centre's 48 settings, and the PHPUnit suite (tests/Feature/Eir, tests/Feature/Ebanker). Every approval on the install is the bootstrap's label 'System Bootstrap (automated data-readiness, not a MAIIC approval)'; MAIIC has not approved anything in the system. Reviewer: Dr Thomson Kumwenda (CFO), then Deloitte. Status definitions: see 'Contents'.</t>
        </is>
      </c>
    </row>
    <row r="3">
      <c r="A3" s="18" t="inlineStr">
        <is>
          <t>Back to Contents</t>
        </is>
      </c>
    </row>
    <row r="4" ht="34" customHeight="1">
      <c r="A4" s="14" t="inlineStr">
        <is>
          <t>Reference</t>
        </is>
      </c>
      <c r="B4" s="14" t="inlineStr">
        <is>
          <t>Section name</t>
        </is>
      </c>
      <c r="C4" s="14" t="inlineStr">
        <is>
          <t>What it requires</t>
        </is>
      </c>
      <c r="D4" s="14" t="inlineStr">
        <is>
          <t>Status</t>
        </is>
      </c>
      <c r="E4" s="14" t="inlineStr">
        <is>
          <t>What the engine does (evidence checked)</t>
        </is>
      </c>
      <c r="F4" s="14" t="inlineStr">
        <is>
          <t>General comment</t>
        </is>
      </c>
      <c r="G4" s="14" t="inlineStr">
        <is>
          <t>Compliance comment</t>
        </is>
      </c>
      <c r="H4" s="14" t="inlineStr">
        <is>
          <t>Where to see it (screen; report or export)</t>
        </is>
      </c>
      <c r="I4" s="14" t="inlineStr">
        <is>
          <t>Reviewer sign-off (initials / date)</t>
        </is>
      </c>
      <c r="J4" s="14" t="inlineStr">
        <is>
          <t>Governance setting</t>
        </is>
      </c>
      <c r="K4" s="14" t="inlineStr">
        <is>
          <t>Test that proves it</t>
        </is>
      </c>
    </row>
    <row r="5">
      <c r="A5" s="15" t="inlineStr">
        <is>
          <t>APPENDIX A - DEFINED TERMS</t>
        </is>
      </c>
    </row>
    <row r="6">
      <c r="A6" s="22" t="inlineStr">
        <is>
          <t>A.EIR</t>
        </is>
      </c>
      <c r="B6" s="22" t="inlineStr">
        <is>
          <t>Effective interest rate</t>
        </is>
      </c>
      <c r="C6" s="22" t="inlineStr">
        <is>
          <t>The rate that exactly discounts estimated future cash payments or receipts through the expected life of the financial asset to the gross carrying amount; the calculation includes all fees and points paid or received between the parties that are an integral part of the EIR, transaction costs and all other premiums or discounts.</t>
        </is>
      </c>
      <c r="D6" s="23" t="inlineStr">
        <is>
          <t>Done</t>
        </is>
      </c>
      <c r="E6" s="22" t="inlineStr">
        <is>
          <t>EirCalculationService solves the rate that discounts the approved schedule's cash flows, net of the integral fees, to the initial net investment, on dated flows with the ACT/365 day count; the solver residual and iterations are stored on contract_eir. On the clean install 31 EIRs are solved and 12 locked; 19 are blocked because their fees await a reviewer (B5.4.1 row).</t>
        </is>
      </c>
      <c r="F6" s="22" t="inlineStr">
        <is>
          <t>Spec v4 section 3.1 and 3.3.</t>
        </is>
      </c>
      <c r="G6" s="22" t="inlineStr">
        <is>
          <t>Compliant: the rate is solved from the flows, never typed.</t>
        </is>
      </c>
      <c r="H6" s="22" t="inlineStr">
        <is>
          <t>Financial Modelling, EIR Calculations: /eir-calculations; Report Hub, EIR as at a Date: /eir-as-at; Contract Profile</t>
        </is>
      </c>
      <c r="I6" s="22" t="inlineStr"/>
      <c r="J6" s="22" t="inlineStr">
        <is>
          <t>day_count_basis; compounding_convention</t>
        </is>
      </c>
      <c r="K6" s="22" t="inlineStr">
        <is>
          <t>Tests\Feature\Eir\EirCalculationWorkflowTest</t>
        </is>
      </c>
    </row>
    <row r="7">
      <c r="A7" s="22" t="inlineStr">
        <is>
          <t>A.AC</t>
        </is>
      </c>
      <c r="B7" s="22" t="inlineStr">
        <is>
          <t>Amortised cost</t>
        </is>
      </c>
      <c r="C7" s="22" t="inlineStr">
        <is>
          <t>The amount at initial recognition minus principal repayments, plus or minus the cumulative amortisation using the effective interest method of any difference between that initial amount and the maturity amount, adjusted for any loss allowance.</t>
        </is>
      </c>
      <c r="D7" s="23" t="inlineStr">
        <is>
          <t>Done</t>
        </is>
      </c>
      <c r="E7" s="22" t="inlineStr">
        <is>
          <t>The monthly roll-forward (eir_amortisation: opening, EIR interest, cash received, closing) is produced by eir:run-revenue from the locked EIR, with cash from the ledger's actual receipts where they cover the month (107 of 138 months on the clean install) and from the schedule otherwise; EirAsAtService gives the amortised cost at any date, accruing on actual days inside a month.</t>
        </is>
      </c>
      <c r="F7" s="22" t="inlineStr">
        <is>
          <t>Spec v4 sections 3, 6.11, 7.1.</t>
        </is>
      </c>
      <c r="G7" s="22" t="inlineStr">
        <is>
          <t>Compliant for the loans with a locked EIR; the loss allowance is applied in the ECL module, not netted here.</t>
        </is>
      </c>
      <c r="H7" s="22" t="inlineStr">
        <is>
          <t>Report Hub, EIR as at a Date: /eir-as-at; Contract Profile; Report Hub, GL Reconciliation (EIR): /eir-reconciliation</t>
        </is>
      </c>
      <c r="I7" s="22" t="inlineStr"/>
      <c r="J7" s="22" t="inlineStr">
        <is>
          <t>cash_source_precedence (ledger over schedule); plr_mid_period</t>
        </is>
      </c>
      <c r="K7" s="22" t="inlineStr">
        <is>
          <t>Tests\Feature\Eir\EirAsAtServiceTest::test_a_month_end_reads_the_locked_roll_forward_row; Tests\Feature\Eir\EirRevenueServiceTest</t>
        </is>
      </c>
    </row>
    <row r="8">
      <c r="A8" s="22" t="inlineStr">
        <is>
          <t>A.GCA</t>
        </is>
      </c>
      <c r="B8" s="22" t="inlineStr">
        <is>
          <t>Gross carrying amount</t>
        </is>
      </c>
      <c r="C8" s="22" t="inlineStr">
        <is>
          <t>The amortised cost of a financial asset before adjusting for any loss allowance.</t>
        </is>
      </c>
      <c r="D8" s="23" t="inlineStr">
        <is>
          <t>Done</t>
        </is>
      </c>
      <c r="E8" s="22" t="inlineStr">
        <is>
          <t>The gross carrying amount at any date is the ledger's running balance (sum of every posting on the account to the date), reproduced to the cent against E-Banker's own loan-book report on 2,361 of 2,361 account-months (Baselines sheet).</t>
        </is>
      </c>
      <c r="F8" s="22" t="inlineStr">
        <is>
          <t>Spec v4 sections 6.2 (method B), 6.11.</t>
        </is>
      </c>
      <c r="G8" s="22" t="inlineStr">
        <is>
          <t>Compliant.</t>
        </is>
      </c>
      <c r="H8" s="22" t="inlineStr">
        <is>
          <t>Report Hub, EIR as at a Date: /eir-as-at; Contract Profile; Data Foundation, Loan Book</t>
        </is>
      </c>
      <c r="I8" s="22" t="inlineStr"/>
      <c r="J8" s="22" t="inlineStr">
        <is>
          <t>loan_book_build_method</t>
        </is>
      </c>
      <c r="K8" s="22" t="inlineStr">
        <is>
          <t>Tests\Feature\Ebanker\LoanBookBuildServiceTest::test_method_b_derives_the_carrying_amount_from_the_ledger_and_keeps_the_stored_figure_beside_it</t>
        </is>
      </c>
    </row>
    <row r="9">
      <c r="A9" s="15" t="inlineStr">
        <is>
          <t>5.4 AMORTISED COST MEASUREMENT</t>
        </is>
      </c>
    </row>
    <row r="10">
      <c r="A10" s="22" t="inlineStr">
        <is>
          <t>5.4.1</t>
        </is>
      </c>
      <c r="B10" s="22" t="inlineStr">
        <is>
          <t>Interest revenue at the effective interest rate</t>
        </is>
      </c>
      <c r="C10" s="22" t="inlineStr">
        <is>
          <t>Interest revenue is calculated by applying the EIR to the gross carrying amount, except for (a) purchased or originated credit-impaired assets and (b) assets that became credit-impaired after initial recognition, where it is applied to the amortised cost (net of the loss allowance).</t>
        </is>
      </c>
      <c r="D10" s="23" t="inlineStr">
        <is>
          <t>Done</t>
        </is>
      </c>
      <c r="E10" s="22" t="inlineStr">
        <is>
          <t>The roll-forward applies the locked EIR to the opening gross carrying amount for Stage 1 and 2 loans and to the net amount for Stage 3 (interest_basis on each row); the stage is read from the staged loan book, which is why the bootstrap stages before it runs revenue.</t>
        </is>
      </c>
      <c r="F10" s="22" t="inlineStr">
        <is>
          <t>Spec v4 sections 3, 3.6.</t>
        </is>
      </c>
      <c r="G10" s="22" t="inlineStr">
        <is>
          <t>Compliant.</t>
        </is>
      </c>
      <c r="H10" s="22" t="inlineStr">
        <is>
          <t>Report Hub, GL Reconciliation (EIR): /eir-reconciliation; Report Hub, EIR as at a Date: /eir-as-at; Contract Profile</t>
        </is>
      </c>
      <c r="I10" s="22" t="inlineStr"/>
      <c r="J10" s="22" t="inlineStr">
        <is>
          <t>stage3_interest_basis</t>
        </is>
      </c>
      <c r="K10" s="22" t="inlineStr">
        <is>
          <t>Tests\Feature\Eir\EirRevenueServiceTest; Tests\Feature\Eir\StagingServiceTest</t>
        </is>
      </c>
    </row>
    <row r="11">
      <c r="A11" s="22" t="inlineStr">
        <is>
          <t>5.4.1(a)</t>
        </is>
      </c>
      <c r="B11" s="22" t="inlineStr">
        <is>
          <t>Purchased or originated credit-impaired assets</t>
        </is>
      </c>
      <c r="C11" s="22" t="inlineStr">
        <is>
          <t>A credit-adjusted EIR is applied to the amortised cost from initial recognition.</t>
        </is>
      </c>
      <c r="D11" s="23" t="inlineStr">
        <is>
          <t>Not applicable, documented</t>
        </is>
      </c>
      <c r="E11" s="22" t="inlineStr">
        <is>
          <t>MAIIC originates its loans and has purchased none; no facility is credit-impaired at origination in the data held (the take-on loans entered E-Banker on 31 July 2024 at their existing balances, which is a migration, not a purchase).</t>
        </is>
      </c>
      <c r="F11" s="22" t="inlineStr">
        <is>
          <t>If a POCI asset ever arises it is an instrument_type judgement on the contract (the Nascomex memo), never a product code.</t>
        </is>
      </c>
      <c r="G11" s="22" t="inlineStr">
        <is>
          <t>Not applicable, documented: no POCI asset; revisit on any purchase of a portfolio.</t>
        </is>
      </c>
      <c r="H11" s="22" t="inlineStr">
        <is>
          <t>Data Foundation, EIR Data: /eir-data</t>
        </is>
      </c>
      <c r="I11" s="22" t="inlineStr"/>
      <c r="J11" s="22" t="inlineStr">
        <is>
          <t>contractual_record; history_before_dec_2025</t>
        </is>
      </c>
      <c r="K11" s="22" t="inlineStr"/>
    </row>
    <row r="12">
      <c r="A12" s="22" t="inlineStr">
        <is>
          <t>5.4.2</t>
        </is>
      </c>
      <c r="B12" s="22" t="inlineStr">
        <is>
          <t>Cure of a credit-impaired asset</t>
        </is>
      </c>
      <c r="C12" s="22" t="inlineStr">
        <is>
          <t>When the asset is no longer credit-impaired, interest revenue reverts to the gross basis.</t>
        </is>
      </c>
      <c r="D12" s="23" t="inlineStr">
        <is>
          <t>Done</t>
        </is>
      </c>
      <c r="E12" s="22" t="inlineStr">
        <is>
          <t>The stage is re-assessed each period (StagingService); a loan that leaves Stage 3 returns to the gross basis in the next roll-forward row, since interest_basis follows the period's stage.</t>
        </is>
      </c>
      <c r="F12" s="22" t="inlineStr"/>
      <c r="G12" s="22" t="inlineStr">
        <is>
          <t>Compliant.</t>
        </is>
      </c>
      <c r="H12" s="22" t="inlineStr">
        <is>
          <t>Report Hub, GL Reconciliation (EIR): /eir-reconciliation</t>
        </is>
      </c>
      <c r="I12" s="22" t="inlineStr"/>
      <c r="J12" s="22" t="inlineStr">
        <is>
          <t>dpd_basis; stage3_missed_instalments</t>
        </is>
      </c>
      <c r="K12" s="22" t="inlineStr">
        <is>
          <t>Tests\Feature\Eir\StagingServiceTest::test_four_unpaid_instalments_lift_a_current_loan_to_stage_3</t>
        </is>
      </c>
    </row>
    <row r="13">
      <c r="A13" s="22" t="inlineStr">
        <is>
          <t>5.4.3</t>
        </is>
      </c>
      <c r="B13" s="22" t="inlineStr">
        <is>
          <t>Modification of contractual cash flows</t>
        </is>
      </c>
      <c r="C13" s="22" t="inlineStr">
        <is>
          <t>When the contractual cash flows are renegotiated or modified and the asset is not derecognised, the gross carrying amount is recalculated as the present value of the modified flows at the original EIR and a modification gain or loss is recognised.</t>
        </is>
      </c>
      <c r="D13" s="23" t="inlineStr">
        <is>
          <t>Partially done</t>
        </is>
      </c>
      <c r="E13" s="22" t="inlineStr">
        <is>
          <t>The roll-forward carries a modification_gain_loss column and rate_reset_events records each reset with its new schedule version; the recalculation at the original EIR is implemented for a schedule re-estimation (B5.4.6 row). The restructured-loan register from E-Banker (the Reschedule Report) is still outstanding from the vendor, so the modifications of 2024 to 2026 are not yet in the system.</t>
        </is>
      </c>
      <c r="F13" s="22" t="inlineStr">
        <is>
          <t>Spec v4 sections 3.2, 5 (Barry / vendor).</t>
        </is>
      </c>
      <c r="G13" s="22" t="inlineStr">
        <is>
          <t>Partially done: mechanics in place; the restructure history is evidence awaited.</t>
        </is>
      </c>
      <c r="H13" s="22" t="inlineStr">
        <is>
          <t>Financial Modelling, EIR Calculations: /eir-calculations; Report Hub, EIR as at a Date: /eir-as-at; Contract Profile (modification history)</t>
        </is>
      </c>
      <c r="I13" s="22" t="inlineStr"/>
      <c r="J13" s="22" t="inlineStr">
        <is>
          <t>rate_change_classification</t>
        </is>
      </c>
      <c r="K13" s="22" t="inlineStr">
        <is>
          <t>Tests\Feature\Eir\EirAsAtServiceTest::test_a_month_end_reads_the_locked_roll_forward_row</t>
        </is>
      </c>
    </row>
    <row r="14">
      <c r="A14" s="22" t="inlineStr">
        <is>
          <t>5.4.4</t>
        </is>
      </c>
      <c r="B14" s="22" t="inlineStr">
        <is>
          <t>Write-off</t>
        </is>
      </c>
      <c r="C14" s="22" t="inlineStr">
        <is>
          <t>The gross carrying amount is reduced when there is no reasonable expectation of recovery.</t>
        </is>
      </c>
      <c r="D14" s="23" t="inlineStr">
        <is>
          <t>Evidence needed from MAIIC</t>
        </is>
      </c>
      <c r="E14" s="22" t="inlineStr">
        <is>
          <t>The loan book carries the write-off through the ECL module; E-Banker's write-off table (DD_16i) returned no rows in the data dictionary of 6 October, so no write-off has been posted in E-Banker since the take-on.</t>
        </is>
      </c>
      <c r="F14" s="22" t="inlineStr"/>
      <c r="G14" s="22" t="inlineStr">
        <is>
          <t>Evidence needed: MAIIC's write-off policy and any write-offs before the take-on.</t>
        </is>
      </c>
      <c r="H14" s="22" t="inlineStr">
        <is>
          <t>Financial Modelling, ECL Calculation: /expected-credit-loss</t>
        </is>
      </c>
      <c r="I14" s="22" t="inlineStr"/>
      <c r="J14" s="22" t="inlineStr"/>
      <c r="K14" s="22" t="inlineStr"/>
    </row>
    <row r="15">
      <c r="A15" s="15" t="inlineStr">
        <is>
          <t>B5.4 EFFECTIVE INTEREST METHOD</t>
        </is>
      </c>
    </row>
    <row r="16">
      <c r="A16" s="22" t="inlineStr">
        <is>
          <t>B5.4.1</t>
        </is>
      </c>
      <c r="B16" s="22" t="inlineStr">
        <is>
          <t>Fees that are an integral part of the EIR</t>
        </is>
      </c>
      <c r="C16" s="22" t="inlineStr">
        <is>
          <t>Fees that are an integral part of the EIR of a financial instrument are treated as an adjustment to the EIR (origination fees received as compensation for activities such as evaluating the borrower's financial condition, evaluating guarantees and collateral, negotiating terms, preparing documents and closing the transaction; commitment fees where the loan is likely to be drawn).</t>
        </is>
      </c>
      <c r="D16" s="23" t="inlineStr">
        <is>
          <t>Partially done</t>
        </is>
      </c>
      <c r="E16" s="22" t="inlineStr">
        <is>
          <t>The origination fees are read from E-Banker's LOS disbursement charges (87 lines: arrangement 206.3 m, legal 136.7 m, other 9.5 m) into contract_fees as PENDING; the fee rulebook (30 rules, three for E-Banker's own charge names) proposes each one's treatment and a reviewer classifies and a second person reviews under maker-checker; the solver reads only reviewed integral fees. The rulebook is seeded unapproved because approving it is a MAIIC decision, so 19 of 31 solvable EIRs are blocked at the fee gate.</t>
        </is>
      </c>
      <c r="F16" s="22" t="inlineStr">
        <is>
          <t>Spec v4 sections 3.3, 7.4; the take-on loans' fees are a separate input (O14).</t>
        </is>
      </c>
      <c r="G16" s="22" t="inlineStr">
        <is>
          <t>Partially done: the mechanics and the gate are in place; the rulebook and the classifications await MAIIC's reviewer; the take-on fees await Finance.</t>
        </is>
      </c>
      <c r="H16" s="22" t="inlineStr">
        <is>
          <t>Governance Centre, Accounting Rules: /eir-accounting-rules; Fee Classification: /eir-fee-classification; Coverage &amp; Blockers: /eir-coverage</t>
        </is>
      </c>
      <c r="I16" s="22" t="inlineStr"/>
      <c r="J16" s="22" t="inlineStr">
        <is>
          <t>fee_reclass_journal; integral_fee_rulebook</t>
        </is>
      </c>
      <c r="K16" s="22" t="inlineStr">
        <is>
          <t>Tests\Feature\Eir\FeeRuleSweepTest; Tests\Feature\Eir\EirReadinessServiceTest</t>
        </is>
      </c>
    </row>
    <row r="17">
      <c r="A17" s="22" t="inlineStr">
        <is>
          <t>B5.4.2</t>
        </is>
      </c>
      <c r="B17" s="22" t="inlineStr">
        <is>
          <t>Fees that are not an integral part of the EIR</t>
        </is>
      </c>
      <c r="C17" s="22" t="inlineStr">
        <is>
          <t>Fees for servicing, commitment fees where draw-down is unlikely, and loan syndication fees are not part of the EIR; internal administrative and holding costs are not transaction costs.</t>
        </is>
      </c>
      <c r="D17" s="23" t="inlineStr">
        <is>
          <t>Done</t>
        </is>
      </c>
      <c r="E17" s="22" t="inlineStr">
        <is>
          <t>The rulebook's rules for internal administrative and staff cost, recovery and enforcement legal cost and penalty charges propose not-integral, ranked above the origination rules so they can never capture them; a reviewer may reverse any line with a reason.</t>
        </is>
      </c>
      <c r="F17" s="22" t="inlineStr"/>
      <c r="G17" s="22" t="inlineStr">
        <is>
          <t>Compliant.</t>
        </is>
      </c>
      <c r="H17" s="22" t="inlineStr">
        <is>
          <t>Governance Centre, Accounting Rules: /eir-accounting-rules</t>
        </is>
      </c>
      <c r="I17" s="22" t="inlineStr"/>
      <c r="J17" s="22" t="inlineStr">
        <is>
          <t>integral_fee_rulebook</t>
        </is>
      </c>
      <c r="K17" s="22" t="inlineStr">
        <is>
          <t>Tests\Feature\Eir\FeeRuleSweepTest</t>
        </is>
      </c>
    </row>
    <row r="18">
      <c r="A18" s="22" t="inlineStr">
        <is>
          <t>B5.4.3</t>
        </is>
      </c>
      <c r="B18" s="22" t="inlineStr">
        <is>
          <t>Expected life and the cash flows considered</t>
        </is>
      </c>
      <c r="C18" s="22" t="inlineStr">
        <is>
          <t>The EIR is estimated using the expected life, considering all contractual terms (prepayment, extension, call and similar options) but not expected credit losses; where the cash flows or life cannot be reliably estimated, the contractual terms are used.</t>
        </is>
      </c>
      <c r="D18" s="23" t="inlineStr">
        <is>
          <t>Done</t>
        </is>
      </c>
      <c r="E18" s="22" t="inlineStr">
        <is>
          <t>The version 1 schedule is generated from the contractual terms of the contract master (E-Banker's loan master, the scheme settings, the instalment chart) and approved before the solve; expected prepayment is a governed basis (expected_cashflow_basis, seeded contractual) because MAIIC's two years of history cannot yet support a behavioural estimate.</t>
        </is>
      </c>
      <c r="F18" s="22" t="inlineStr">
        <is>
          <t>Spec v4 sections 3.2, 4.2.</t>
        </is>
      </c>
      <c r="G18" s="22" t="inlineStr">
        <is>
          <t>Compliant on the contractual basis, which the standard allows where estimates are unreliable.</t>
        </is>
      </c>
      <c r="H18" s="22" t="inlineStr">
        <is>
          <t>Financial Modelling, EIR Calculations: /eir-calculations; Data Foundation, EIR Data (schedules)</t>
        </is>
      </c>
      <c r="I18" s="22" t="inlineStr"/>
      <c r="J18" s="22" t="inlineStr">
        <is>
          <t>expected_cashflow_basis; partly_drawn_interest_basis</t>
        </is>
      </c>
      <c r="K18" s="22" t="inlineStr">
        <is>
          <t>Tests\Feature\Eir\ScheduleComparisonTest; Tests\Feature\Eir\ScheduleShapeGovernanceTest</t>
        </is>
      </c>
    </row>
    <row r="19">
      <c r="A19" s="22" t="inlineStr">
        <is>
          <t>B5.4.4</t>
        </is>
      </c>
      <c r="B19" s="22" t="inlineStr">
        <is>
          <t>Floating-rate instruments</t>
        </is>
      </c>
      <c r="C19" s="22" t="inlineStr">
        <is>
          <t>For floating-rate assets, periodic re-estimation of cash flows to reflect movements in market rates alters the EIR; where the asset was recognised at an amount equal to the principal receivable on maturity, re-estimating the future interest payments normally has no significant effect on the carrying amount.</t>
        </is>
      </c>
      <c r="D19" s="23" t="inlineStr">
        <is>
          <t>Done</t>
        </is>
      </c>
      <c r="E19" s="22" t="inlineStr">
        <is>
          <t>The PLR series (48 rows, 26 changes, from E-Banker's PLR master) and each contract's spread over it are held; a reset is recorded as a rate_reset_event with a new schedule version, and the EIR's index component is re-estimated while the locked spread stays (rate_change_classification: a PLR move is a reset, an individual re-pricing is a modification).</t>
        </is>
      </c>
      <c r="F19" s="22" t="inlineStr">
        <is>
          <t>Spec v4 section 3.2.</t>
        </is>
      </c>
      <c r="G19" s="22" t="inlineStr">
        <is>
          <t>Compliant.</t>
        </is>
      </c>
      <c r="H19" s="22" t="inlineStr">
        <is>
          <t>Data Foundation, Reference Rates: /eir-reference-rates; Financial Modelling, EIR Calculations: /eir-calculations</t>
        </is>
      </c>
      <c r="I19" s="22" t="inlineStr"/>
      <c r="J19" s="22" t="inlineStr">
        <is>
          <t>rate_change_classification; plr_mid_period</t>
        </is>
      </c>
      <c r="K19" s="22" t="inlineStr">
        <is>
          <t>Tests\Feature\Eir\ReferenceRateImportServiceTest; Tests\Feature\Eir\SpreadDerivationServiceTest</t>
        </is>
      </c>
    </row>
    <row r="20">
      <c r="A20" s="22" t="inlineStr">
        <is>
          <t>B5.4.5</t>
        </is>
      </c>
      <c r="B20" s="22" t="inlineStr">
        <is>
          <t>Re-estimation of payments or receipts (not a modification)</t>
        </is>
      </c>
      <c r="C20" s="22" t="inlineStr">
        <is>
          <t>When an entity revises its estimates of payments or receipts (excluding modifications and changes in expected credit losses), it adjusts the gross carrying amount to the present value of the revised flows at the original EIR and recognises the adjustment in profit or loss.</t>
        </is>
      </c>
      <c r="D20" s="23" t="inlineStr">
        <is>
          <t>Done</t>
        </is>
      </c>
      <c r="E20" s="22" t="inlineStr">
        <is>
          <t>A re-estimated schedule is a new schedule version under the locked original EIR; the roll-forward's modification_gain_loss carries the catch-up and the as-at view lists the schedule version in force on any date.</t>
        </is>
      </c>
      <c r="F20" s="22" t="inlineStr"/>
      <c r="G20" s="22" t="inlineStr">
        <is>
          <t>Compliant.</t>
        </is>
      </c>
      <c r="H20" s="22" t="inlineStr">
        <is>
          <t>Report Hub, EIR as at a Date: /eir-as-at; Contract Profile</t>
        </is>
      </c>
      <c r="I20" s="22" t="inlineStr"/>
      <c r="J20" s="22" t="inlineStr">
        <is>
          <t>schedule_approval_control</t>
        </is>
      </c>
      <c r="K20" s="22" t="inlineStr">
        <is>
          <t>Tests\Feature\Eir\ScheduleShapeGovernanceTest</t>
        </is>
      </c>
    </row>
    <row r="21">
      <c r="A21" s="22" t="inlineStr">
        <is>
          <t>B5.4.6</t>
        </is>
      </c>
      <c r="B21" s="22" t="inlineStr">
        <is>
          <t>Modification: recalculate at the original EIR</t>
        </is>
      </c>
      <c r="C21" s="22" t="inlineStr">
        <is>
          <t>Where the contractual cash flows are modified and the asset is not derecognised, the new gross carrying amount is the present value of the modified flows discounted at the original EIR; costs and fees adjust the carrying amount and are amortised over the remaining term.</t>
        </is>
      </c>
      <c r="D21" s="23" t="inlineStr">
        <is>
          <t>Partially done</t>
        </is>
      </c>
      <c r="E21" s="22" t="inlineStr">
        <is>
          <t>As 5.4.3: the mechanics exist; the restructure history (E-Banker's Reschedule Report) is awaited from the vendor.</t>
        </is>
      </c>
      <c r="F21" s="22" t="inlineStr"/>
      <c r="G21" s="22" t="inlineStr">
        <is>
          <t>Partially done.</t>
        </is>
      </c>
      <c r="H21" s="22" t="inlineStr">
        <is>
          <t>Financial Modelling, EIR Calculations: /eir-calculations</t>
        </is>
      </c>
      <c r="I21" s="22" t="inlineStr"/>
      <c r="J21" s="22" t="inlineStr">
        <is>
          <t>rate_change_classification</t>
        </is>
      </c>
      <c r="K21" s="22" t="inlineStr">
        <is>
          <t>Tests\Feature\Eir\EirAsAtServiceTest</t>
        </is>
      </c>
    </row>
    <row r="22">
      <c r="A22" s="22" t="inlineStr">
        <is>
          <t>B5.4.7</t>
        </is>
      </c>
      <c r="B22" s="22" t="inlineStr">
        <is>
          <t>Interest on a credit-impaired asset</t>
        </is>
      </c>
      <c r="C22" s="22" t="inlineStr">
        <is>
          <t>When a financial asset becomes credit-impaired after initial recognition, interest revenue is applied to the amortised cost in subsequent periods.</t>
        </is>
      </c>
      <c r="D22" s="23" t="inlineStr">
        <is>
          <t>Done</t>
        </is>
      </c>
      <c r="E22" s="22" t="inlineStr">
        <is>
          <t>As 5.4.1: Stage 3 interest is on the net basis in the roll-forward (interest_basis = NET), and the stage follows the directive's thresholds (91 days short-term, 181 otherwise) and the missed-instalment trigger.</t>
        </is>
      </c>
      <c r="F22" s="22" t="inlineStr">
        <is>
          <t>Spec v4 section 3.6, decision D31.</t>
        </is>
      </c>
      <c r="G22" s="22" t="inlineStr">
        <is>
          <t>Compliant.</t>
        </is>
      </c>
      <c r="H22" s="22" t="inlineStr">
        <is>
          <t>Report Hub, GL Reconciliation (EIR): /eir-reconciliation</t>
        </is>
      </c>
      <c r="I22" s="22" t="inlineStr"/>
      <c r="J22" s="22" t="inlineStr">
        <is>
          <t>stage3_interest_basis; dpd_basis</t>
        </is>
      </c>
      <c r="K22" s="22" t="inlineStr">
        <is>
          <t>Tests\Feature\Eir\StagingServiceTest</t>
        </is>
      </c>
    </row>
    <row r="23">
      <c r="A23" s="15" t="inlineStr">
        <is>
          <t>3.3 DERECOGNITION</t>
        </is>
      </c>
    </row>
    <row r="24">
      <c r="A24" s="22" t="inlineStr">
        <is>
          <t>3.3.2</t>
        </is>
      </c>
      <c r="B24" s="22" t="inlineStr">
        <is>
          <t>Extinguishment and substantial modification</t>
        </is>
      </c>
      <c r="C24" s="22" t="inlineStr">
        <is>
          <t>A financial liability (and by analogy an asset whose terms are substantially modified) is derecognised when the terms are substantially different; a modified asset that is not substantially different is accounted for under 5.4.3.</t>
        </is>
      </c>
      <c r="D24" s="23" t="inlineStr">
        <is>
          <t>Outstanding</t>
        </is>
      </c>
      <c r="E24" s="22" t="inlineStr">
        <is>
          <t>The 10 percent test of B3.3.6 (the present value of the new flows at the original EIR differing by 10 percent or more) is not yet built; every modification is treated under 5.4.3 today.</t>
        </is>
      </c>
      <c r="F24" s="22" t="inlineStr">
        <is>
          <t>Spec v4 section 5 (open items) names the restructured-loan register as the input.</t>
        </is>
      </c>
      <c r="G24" s="22" t="inlineStr">
        <is>
          <t>Outstanding: build the test once the restructure history arrives.</t>
        </is>
      </c>
      <c r="H24" s="22" t="inlineStr">
        <is>
          <t>Financial Modelling, EIR Calculations: /eir-calculations</t>
        </is>
      </c>
      <c r="I24" s="22" t="inlineStr"/>
      <c r="J24" s="22" t="inlineStr"/>
      <c r="K24" s="22" t="inlineStr"/>
    </row>
    <row r="25">
      <c r="A25" s="22" t="inlineStr">
        <is>
          <t>B3.3.6</t>
        </is>
      </c>
      <c r="B25" s="22" t="inlineStr">
        <is>
          <t>The 10 percent test</t>
        </is>
      </c>
      <c r="C25" s="22" t="inlineStr">
        <is>
          <t>Terms are substantially different if the discounted present value of the cash flows under the new terms, including fees, at the original EIR, differs by at least 10 percent from the discounted present value of the remaining cash flows of the original.</t>
        </is>
      </c>
      <c r="D25" s="23" t="inlineStr">
        <is>
          <t>Outstanding</t>
        </is>
      </c>
      <c r="E25" s="22" t="inlineStr">
        <is>
          <t>As 3.3.2.</t>
        </is>
      </c>
      <c r="F25" s="22" t="inlineStr"/>
      <c r="G25" s="22" t="inlineStr">
        <is>
          <t>Outstanding.</t>
        </is>
      </c>
      <c r="H25" s="22" t="inlineStr">
        <is>
          <t>Financial Modelling, EIR Calculations: /eir-calculations</t>
        </is>
      </c>
      <c r="I25" s="22" t="inlineStr"/>
      <c r="J25" s="22" t="inlineStr"/>
      <c r="K25" s="22" t="inlineStr"/>
    </row>
    <row r="26">
      <c r="A26" s="15" t="inlineStr">
        <is>
          <t>THE RECORD AND ITS PROOF</t>
        </is>
      </c>
    </row>
    <row r="27">
      <c r="A27" s="22" t="inlineStr">
        <is>
          <t>S9</t>
        </is>
      </c>
      <c r="B27" s="22" t="inlineStr">
        <is>
          <t>The ledger as the primary record</t>
        </is>
      </c>
      <c r="C27" s="22" t="inlineStr">
        <is>
          <t>The system's figures must reconcile to the entity's general ledger (IAS 1.15 fair presentation; the auditor's completeness and accuracy assertions).</t>
        </is>
      </c>
      <c r="D27" s="23" t="inlineStr">
        <is>
          <t>Done</t>
        </is>
      </c>
      <c r="E27" s="22" t="inlineStr">
        <is>
          <t>Interest posted January 2025 to July 2026 of 5,293,988,207.06 from the ledger; the derived carrying amount equal to the stored report on 2,361 of 2,361 account-months; the loan GLs at 31 December 2025 equal to the trial balance to the cent (1050201 and 1050202 off by the accepted exception of section 3.5); the GL reconciliation per period on the screen. The Baselines sheet reads these from the system at generation.</t>
        </is>
      </c>
      <c r="F27" s="22" t="inlineStr">
        <is>
          <t>Spec v4 sections 3.4, 3.5, 6.10.2, 9.</t>
        </is>
      </c>
      <c r="G27" s="22" t="inlineStr">
        <is>
          <t>Compliant; two rows pass as accepted exceptions until Finance corrects the keyed openings.</t>
        </is>
      </c>
      <c r="H27" s="22" t="inlineStr">
        <is>
          <t>Report Hub, GL Reconciliation (EIR): /eir-reconciliation; Data Foundation, E-Banker Feed: /eir-feed</t>
        </is>
      </c>
      <c r="I27" s="22" t="inlineStr"/>
      <c r="J27" s="22" t="inlineStr">
        <is>
          <t>reconciliation_tolerance; trueup_gl_account</t>
        </is>
      </c>
      <c r="K27" s="22" t="inlineStr">
        <is>
          <t>Tests\Feature\Ebanker\PackLandingServiceTest; eir:bootstrap --verify</t>
        </is>
      </c>
    </row>
    <row r="28">
      <c r="A28" s="22" t="inlineStr">
        <is>
          <t>S4</t>
        </is>
      </c>
      <c r="B28" s="22" t="inlineStr">
        <is>
          <t>Governed conventions under maker-checker</t>
        </is>
      </c>
      <c r="C28" s="22" t="inlineStr">
        <is>
          <t>Every accounting judgement the engine makes must be a documented, approved policy choice (IAS 8.10 to 8.12), not a constant in code.</t>
        </is>
      </c>
      <c r="D28" s="23" t="inlineStr">
        <is>
          <t>Done</t>
        </is>
      </c>
      <c r="E28" s="22" t="inlineStr">
        <is>
          <t>48 settings in the Governance Centre, each with options, a seeded default, an effective date, a proposer and an approver; a calculation that needs a setting with no approved value stops and says so; a locked period keeps the values it was run under.</t>
        </is>
      </c>
      <c r="F28" s="22" t="inlineStr">
        <is>
          <t>Spec v4 section 4.2.</t>
        </is>
      </c>
      <c r="G28" s="22" t="inlineStr">
        <is>
          <t>Compliant.</t>
        </is>
      </c>
      <c r="H28" s="22" t="inlineStr">
        <is>
          <t>Governance Centre: /eir-governance</t>
        </is>
      </c>
      <c r="I28" s="22" t="inlineStr"/>
      <c r="J28" s="22" t="inlineStr">
        <is>
          <t>(all)</t>
        </is>
      </c>
      <c r="K28" s="22" t="inlineStr">
        <is>
          <t>Tests\Feature\Eir\GovernanceServiceTest; Tests\Feature\Eir\EirGovernanceControllerTest</t>
        </is>
      </c>
    </row>
  </sheetData>
  <autoFilter ref="A4:K28"/>
  <mergeCells count="6">
    <mergeCell ref="A26:K26"/>
    <mergeCell ref="A15:K15"/>
    <mergeCell ref="A2:K2"/>
    <mergeCell ref="A5:K5"/>
    <mergeCell ref="A23:K23"/>
    <mergeCell ref="A9:K9"/>
  </mergeCells>
  <conditionalFormatting sqref="D5:D28">
    <cfRule type="expression" priority="1" dxfId="0">
      <formula>$D5="Done"</formula>
    </cfRule>
    <cfRule type="expression" priority="2" dxfId="1">
      <formula>$D5="Partially done"</formula>
    </cfRule>
    <cfRule type="expression" priority="3" dxfId="2">
      <formula>$D5="Outstanding"</formula>
    </cfRule>
    <cfRule type="expression" priority="4" dxfId="3">
      <formula>$D5="Not applicable, documented"</formula>
    </cfRule>
    <cfRule type="expression" priority="5" dxfId="4">
      <formula>$D5="Evidence needed from MAIIC"</formula>
    </cfRule>
  </conditionalFormatting>
  <conditionalFormatting sqref="K5:K28">
    <cfRule type="expression" priority="6" dxfId="2">
      <formula>AND($D5="Done",$K5="")</formula>
    </cfRule>
  </conditionalFormatting>
  <dataValidations count="1">
    <dataValidation sqref="D5:D28" showDropDown="0" showInputMessage="0" showErrorMessage="0" allowBlank="1" type="list">
      <formula1>"Done,Partially done,Outstanding,Not applicable, documented,Evidence needed from MAIIC"</formula1>
    </dataValidation>
  </dataValidations>
  <hyperlinks>
    <hyperlink ref="A3" location="'Contents'!A1" display="Back to Contents"/>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C00000"/>
    <outlinePr summaryBelow="1" summaryRight="1"/>
    <pageSetUpPr fitToPage="1"/>
  </sheetPr>
  <dimension ref="A1:H8"/>
  <sheetViews>
    <sheetView showGridLines="0" workbookViewId="0">
      <pane ySplit="4" topLeftCell="A5" activePane="bottomLeft" state="frozen"/>
      <selection pane="bottomLeft" activeCell="A1" sqref="A1"/>
    </sheetView>
  </sheetViews>
  <sheetFormatPr baseColWidth="8" defaultRowHeight="15"/>
  <cols>
    <col width="6" customWidth="1" min="1" max="1"/>
    <col width="16" customWidth="1" min="2" max="2"/>
    <col width="30" customWidth="1" min="3" max="3"/>
    <col width="64" customWidth="1" min="4" max="4"/>
    <col width="40" customWidth="1" min="5" max="5"/>
    <col width="64" customWidth="1" min="6" max="6"/>
    <col width="26" customWidth="1" min="7" max="7"/>
    <col width="12" customWidth="1" min="8" max="8"/>
  </cols>
  <sheetData>
    <row r="1">
      <c r="A1" s="20" t="inlineStr">
        <is>
          <t>Findings - items that need a decision or a fix before this standard can be signed off</t>
        </is>
      </c>
    </row>
    <row r="2">
      <c r="A2" s="18" t="inlineStr">
        <is>
          <t>Back to Contents</t>
        </is>
      </c>
    </row>
    <row r="4">
      <c r="A4" s="14" t="inlineStr">
        <is>
          <t>No.</t>
        </is>
      </c>
      <c r="B4" s="14" t="inlineStr">
        <is>
          <t>Reference</t>
        </is>
      </c>
      <c r="C4" s="14" t="inlineStr">
        <is>
          <t>Finding</t>
        </is>
      </c>
      <c r="D4" s="14" t="inlineStr">
        <is>
          <t>What was found</t>
        </is>
      </c>
      <c r="E4" s="14" t="inlineStr">
        <is>
          <t>Impact</t>
        </is>
      </c>
      <c r="F4" s="14" t="inlineStr">
        <is>
          <t>Recommended action</t>
        </is>
      </c>
      <c r="G4" s="14" t="inlineStr">
        <is>
          <t>Owner</t>
        </is>
      </c>
      <c r="H4" s="14" t="inlineStr">
        <is>
          <t>Status</t>
        </is>
      </c>
    </row>
    <row r="5">
      <c r="A5" s="22" t="inlineStr">
        <is>
          <t>F1</t>
        </is>
      </c>
      <c r="B5" s="24" t="inlineStr">
        <is>
          <t>B5.4.1</t>
        </is>
      </c>
      <c r="C5" s="22" t="inlineStr">
        <is>
          <t>The fee rulebook is unapproved, so 19 solvable EIRs are blocked</t>
        </is>
      </c>
      <c r="D5" s="22" t="inlineStr">
        <is>
          <t>The 30 seeded rules (three for E-Banker's own charge names) carry no approver; the bootstrap reviews only what an approved rule covers, so every LOS charge stays PENDING and the fee gate blocks the contract.</t>
        </is>
      </c>
      <c r="E5" s="22" t="inlineStr">
        <is>
          <t>19 of 31 loans have no locked EIR; their revenue and amortised cost cannot be produced.</t>
        </is>
      </c>
      <c r="F5" s="22" t="inlineStr">
        <is>
          <t>A MAIIC reviewer approves the rulebook on the Accounting Rules screen; a second person reviews the classifications; the bootstrap then solves and locks the 19.</t>
        </is>
      </c>
      <c r="G5" s="22" t="inlineStr">
        <is>
          <t>Dr Thom / the accounting-rules reviewer</t>
        </is>
      </c>
      <c r="H5" s="22" t="inlineStr">
        <is>
          <t>Open</t>
        </is>
      </c>
    </row>
    <row r="6">
      <c r="A6" s="22" t="inlineStr">
        <is>
          <t>F2</t>
        </is>
      </c>
      <c r="B6" s="24" t="inlineStr">
        <is>
          <t>B5.4.1</t>
        </is>
      </c>
      <c r="C6" s="22" t="inlineStr">
        <is>
          <t>The take-on loans' fees are not supplied</t>
        </is>
      </c>
      <c r="D6" s="22" t="inlineStr">
        <is>
          <t>All 78 take-on loans start at the take-on balance because the mapping workbook's fee columns are blank (O14); a blank is never read as fee-free.</t>
        </is>
      </c>
      <c r="E6" s="22" t="inlineStr">
        <is>
          <t>The pre-migration EIR of the 78 cannot be solved from origination; the revenue shift of 2024 is understated for them.</t>
        </is>
      </c>
      <c r="F6" s="22" t="inlineStr">
        <is>
          <t>Tamanda completes the yellow columns or enters the fees on the Take-on Schedules screen; the build then recomputes from origination where the block and fees exist.</t>
        </is>
      </c>
      <c r="G6" s="22" t="inlineStr">
        <is>
          <t>Tamanda Sitimawina</t>
        </is>
      </c>
      <c r="H6" s="22" t="inlineStr">
        <is>
          <t>Open</t>
        </is>
      </c>
    </row>
    <row r="7">
      <c r="A7" s="22" t="inlineStr">
        <is>
          <t>F3</t>
        </is>
      </c>
      <c r="B7" s="24" t="inlineStr">
        <is>
          <t>5.4.3, B5.4.6, 3.3.2</t>
        </is>
      </c>
      <c r="C7" s="22" t="inlineStr">
        <is>
          <t>The restructure history is not in the system</t>
        </is>
      </c>
      <c r="D7" s="22" t="inlineStr">
        <is>
          <t>E-Banker's Reschedule Report and the restructured-loan register are awaited from the vendor; the modification mechanics exist but the 2024 to 2026 modifications are not loaded, and the 10 percent test is not built.</t>
        </is>
      </c>
      <c r="E7" s="22" t="inlineStr">
        <is>
          <t>Modification gains and losses, and any derecognition, are not recognised.</t>
        </is>
      </c>
      <c r="F7" s="22" t="inlineStr">
        <is>
          <t>Barry obtains the Reschedule Report; the register is loaded by the feed; the 10 percent test is built against it.</t>
        </is>
      </c>
      <c r="G7" s="22" t="inlineStr">
        <is>
          <t>Barry Makumba / Dupleix</t>
        </is>
      </c>
      <c r="H7" s="22" t="inlineStr">
        <is>
          <t>Open</t>
        </is>
      </c>
    </row>
    <row r="8">
      <c r="A8" s="22" t="inlineStr">
        <is>
          <t>F4</t>
        </is>
      </c>
      <c r="B8" s="24" t="inlineStr">
        <is>
          <t>S9</t>
        </is>
      </c>
      <c r="C8" s="22" t="inlineStr">
        <is>
          <t>Two trial-balance ties pass only as accepted exceptions</t>
        </is>
      </c>
      <c r="D8" s="22" t="inlineStr">
        <is>
          <t>GL 1050201 is 400,000.00 above and 1050202 1,000,000.00 below the loan book at 31 December 2025, the keyed GL openings of section 3.5.</t>
        </is>
      </c>
      <c r="E8" s="22" t="inlineStr">
        <is>
          <t>The year-end balances by GL are explained, not equal.</t>
        </is>
      </c>
      <c r="F8" s="22" t="inlineStr">
        <is>
          <t>Finance posts the opening adjustment; the exception is then removed from the pack's manifest and the Baselines sheet.</t>
        </is>
      </c>
      <c r="G8" s="22" t="inlineStr">
        <is>
          <t>Finance</t>
        </is>
      </c>
      <c r="H8" s="22" t="inlineStr">
        <is>
          <t>Open</t>
        </is>
      </c>
    </row>
  </sheetData>
  <dataValidations count="1">
    <dataValidation sqref="H5:H8" showDropDown="0" showInputMessage="0" showErrorMessage="0" allowBlank="1" type="list">
      <formula1>"Open,In progress,Closed,Deferred"</formula1>
    </dataValidation>
  </dataValidations>
  <hyperlinks>
    <hyperlink ref="A2" location="'Contents'!A1" display="Back to Contents"/>
    <hyperlink ref="B5" location="'Audit'!A16" display="B5.4.1"/>
    <hyperlink ref="B6" location="'Audit'!A16" display="B5.4.1"/>
    <hyperlink ref="B7" location="'Audit'!A13" display="5.4.3, B5.4.6, 3.3.2"/>
    <hyperlink ref="B8" location="'Audit'!A27" display="S9"/>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2E75B6"/>
    <outlinePr summaryBelow="1" summaryRight="1"/>
    <pageSetUpPr fitToPage="1"/>
  </sheetPr>
  <dimension ref="A1:F13"/>
  <sheetViews>
    <sheetView showGridLines="0" workbookViewId="0">
      <pane ySplit="4" topLeftCell="A5" activePane="bottomLeft" state="frozen"/>
      <selection pane="bottomLeft" activeCell="A1" sqref="A1"/>
    </sheetView>
  </sheetViews>
  <sheetFormatPr baseColWidth="8" defaultRowHeight="15"/>
  <cols>
    <col width="64" customWidth="1" min="1" max="1"/>
    <col width="22" customWidth="1" min="2" max="2"/>
    <col width="24" customWidth="1" min="3" max="3"/>
    <col width="12" customWidth="1" min="4" max="4"/>
    <col width="10" customWidth="1" min="5" max="5"/>
    <col width="50" customWidth="1" min="6" max="6"/>
  </cols>
  <sheetData>
    <row r="1">
      <c r="A1" s="20" t="inlineStr">
        <is>
          <t>Baselines - the acceptance ties of specification section 9, read from the system at generation</t>
        </is>
      </c>
    </row>
    <row r="2">
      <c r="A2" s="18" t="inlineStr">
        <is>
          <t>Back to Contents</t>
        </is>
      </c>
    </row>
    <row r="3">
      <c r="A3" s="2" t="inlineStr">
        <is>
          <t>Generated 2026-10-08 21:18:12 from maiic_ifrs9_bootstrap. The PASS/FAIL in column E is a formula on columns B and C, so it recomputes if a figure is typed over.</t>
        </is>
      </c>
    </row>
    <row r="4">
      <c r="A4" s="14" t="inlineStr">
        <is>
          <t>Tie</t>
        </is>
      </c>
      <c r="B4" s="14" t="inlineStr">
        <is>
          <t>Expected</t>
        </is>
      </c>
      <c r="C4" s="14" t="inlineStr">
        <is>
          <t>System figure at generation</t>
        </is>
      </c>
      <c r="D4" s="14" t="inlineStr">
        <is>
          <t>Tolerance</t>
        </is>
      </c>
      <c r="E4" s="14" t="inlineStr">
        <is>
          <t>Result</t>
        </is>
      </c>
      <c r="F4" s="14" t="inlineStr">
        <is>
          <t>Note</t>
        </is>
      </c>
    </row>
    <row r="5">
      <c r="A5" s="22" t="inlineStr">
        <is>
          <t>Interest posted Jan 2025 to Jul 2026 (ledger, types 303 and 120)</t>
        </is>
      </c>
      <c r="B5" s="25" t="n">
        <v>5293988207.06</v>
      </c>
      <c r="C5" s="25" t="n">
        <v>5293988207.06</v>
      </c>
      <c r="D5" s="22" t="n">
        <v>1</v>
      </c>
      <c r="E5" s="26">
        <f>IF(ABS(B5-C5)&lt;=D5,"PASS","FAIL")</f>
        <v/>
      </c>
      <c r="F5" s="22" t="inlineStr"/>
    </row>
    <row r="6">
      <c r="A6" s="22" t="inlineStr">
        <is>
          <t>Derived carrying amount against the stored report (over 2 cents)</t>
        </is>
      </c>
      <c r="B6" s="22" t="inlineStr">
        <is>
          <t>0 differences</t>
        </is>
      </c>
      <c r="C6" s="22" t="inlineStr">
        <is>
          <t>0 of 2361 account-months</t>
        </is>
      </c>
      <c r="D6" s="22" t="n">
        <v>0.01</v>
      </c>
      <c r="E6" s="26">
        <f>IF(B6=C6,"PASS","FAIL")</f>
        <v/>
      </c>
      <c r="F6" s="22" t="inlineStr"/>
    </row>
    <row r="7">
      <c r="A7" s="22" t="inlineStr">
        <is>
          <t>Year-end interest batch contra on 4215</t>
        </is>
      </c>
      <c r="B7" s="25" t="n">
        <v>32956675.55</v>
      </c>
      <c r="C7" s="25" t="n">
        <v>32956675.55</v>
      </c>
      <c r="D7" s="22" t="n">
        <v>1</v>
      </c>
      <c r="E7" s="26">
        <f>IF(ABS(B7-C7)&lt;=D7,"PASS","FAIL")</f>
        <v/>
      </c>
      <c r="F7" s="22" t="inlineStr"/>
    </row>
    <row r="8">
      <c r="A8" s="22" t="inlineStr">
        <is>
          <t>Year-end interest batch contra on 4216</t>
        </is>
      </c>
      <c r="B8" s="25" t="n">
        <v>-21733262.7</v>
      </c>
      <c r="C8" s="25" t="n">
        <v>-21733262.7</v>
      </c>
      <c r="D8" s="22" t="n">
        <v>0.01</v>
      </c>
      <c r="E8" s="26">
        <f>IF(ABS(B8-C8)&lt;=D8,"PASS","FAIL")</f>
        <v/>
      </c>
      <c r="F8" s="22" t="inlineStr"/>
    </row>
    <row r="9">
      <c r="A9" s="22" t="inlineStr">
        <is>
          <t>Loan book 1050101 at 31 Dec 2025 against the trial balance</t>
        </is>
      </c>
      <c r="B9" s="25" t="n">
        <v>1368737810.68</v>
      </c>
      <c r="C9" s="25" t="n">
        <v>1368737810.68</v>
      </c>
      <c r="D9" s="22" t="n">
        <v>1</v>
      </c>
      <c r="E9" s="26">
        <f>IF(ABS(B9-C9)&lt;=D9,"PASS","FAIL")</f>
        <v/>
      </c>
      <c r="F9" s="22" t="inlineStr"/>
    </row>
    <row r="10">
      <c r="A10" s="22" t="inlineStr">
        <is>
          <t>Loan book 1050102 at 31 Dec 2025 against the trial balance</t>
        </is>
      </c>
      <c r="B10" s="25" t="n">
        <v>6434045052.56</v>
      </c>
      <c r="C10" s="25" t="n">
        <v>6434045052.56</v>
      </c>
      <c r="D10" s="22" t="n">
        <v>1</v>
      </c>
      <c r="E10" s="26">
        <f>IF(ABS(B10-C10)&lt;=D10,"PASS","FAIL")</f>
        <v/>
      </c>
      <c r="F10" s="22" t="inlineStr"/>
    </row>
    <row r="11">
      <c r="A11" s="22" t="inlineStr">
        <is>
          <t>Loan book 1050201 at 31 Dec 2025 against the trial balance (accepted exception, spec 3.5: -400,000.00)</t>
        </is>
      </c>
      <c r="B11" s="25" t="n">
        <v>1402393139.46</v>
      </c>
      <c r="C11" s="25" t="n">
        <v>1401993139.46</v>
      </c>
      <c r="D11" s="22" t="n">
        <v>1</v>
      </c>
      <c r="E11" s="26">
        <f>IF(ABS(B11-C11)&lt;=D11,"PASS","FAIL")</f>
        <v/>
      </c>
      <c r="F11" s="22" t="inlineStr"/>
    </row>
    <row r="12">
      <c r="A12" s="22" t="inlineStr">
        <is>
          <t>Loan book 1050202 at 31 Dec 2025 against the trial balance (accepted exception, spec 3.5: 1,000,000.00)</t>
        </is>
      </c>
      <c r="B12" s="25" t="n">
        <v>3808288656.15</v>
      </c>
      <c r="C12" s="25" t="n">
        <v>3809288656.15</v>
      </c>
      <c r="D12" s="22" t="n">
        <v>1</v>
      </c>
      <c r="E12" s="26">
        <f>IF(ABS(B12-C12)&lt;=D12,"PASS","FAIL")</f>
        <v/>
      </c>
      <c r="F12" s="22" t="inlineStr"/>
    </row>
    <row r="13">
      <c r="A13" s="22" t="inlineStr">
        <is>
          <t>Loan book 1050401 at 31 Dec 2025 against the trial balance</t>
        </is>
      </c>
      <c r="B13" s="25" t="n">
        <v>1827148120.69</v>
      </c>
      <c r="C13" s="25" t="n">
        <v>1827148120.69</v>
      </c>
      <c r="D13" s="22" t="n">
        <v>1</v>
      </c>
      <c r="E13" s="26">
        <f>IF(ABS(B13-C13)&lt;=D13,"PASS","FAIL")</f>
        <v/>
      </c>
      <c r="F13" s="22" t="inlineStr"/>
    </row>
  </sheetData>
  <conditionalFormatting sqref="E5:E13">
    <cfRule type="expression" priority="1" dxfId="0">
      <formula>$E5="PASS"</formula>
    </cfRule>
    <cfRule type="expression" priority="2" dxfId="2">
      <formula>$E5="FAIL"</formula>
    </cfRule>
  </conditionalFormatting>
  <hyperlinks>
    <hyperlink ref="A2" location="'Contents'!A1" display="Back to Contents"/>
  </hyperlink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2026-10-08T19:18:12Z</dcterms:created>
  <dcterms:modified xmlns:dcterms="http://purl.org/dc/terms/" xmlns:xsi="http://www.w3.org/2001/XMLSchema-instance" xsi:type="dcterms:W3CDTF">2026-10-08T19:18:12Z</dcterms:modified>
</cp:coreProperties>
</file>