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'Audit'!$A$4:$K$22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IFRS 9 - impairment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COUNTA(Audit!$A$5:$A$22)-4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5.5 RECOGNITION OF EXPECTED CREDIT LOSSES</t>
        </is>
      </c>
    </row>
    <row r="15">
      <c r="A15" s="16" t="inlineStr">
        <is>
          <t>5.5.1</t>
        </is>
      </c>
      <c r="B15" s="17" t="inlineStr">
        <is>
          <t>A loss allowance for expected credit losses</t>
        </is>
      </c>
      <c r="C15" s="16">
        <f>Audit!D6</f>
        <v/>
      </c>
      <c r="D15" s="17" t="inlineStr">
        <is>
          <t>Audit row 6</t>
        </is>
      </c>
    </row>
    <row r="16">
      <c r="A16" s="16" t="inlineStr">
        <is>
          <t>5.5.3</t>
        </is>
      </c>
      <c r="B16" s="17" t="inlineStr">
        <is>
          <t>Lifetime ECL on a significant increase in credit risk</t>
        </is>
      </c>
      <c r="C16" s="16">
        <f>Audit!D7</f>
        <v/>
      </c>
      <c r="D16" s="17" t="inlineStr">
        <is>
          <t>Audit row 7</t>
        </is>
      </c>
    </row>
    <row r="17">
      <c r="A17" s="16" t="inlineStr">
        <is>
          <t>5.5.5</t>
        </is>
      </c>
      <c r="B17" s="17" t="inlineStr">
        <is>
          <t>12-month ECL where credit risk has not increased significantly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5.5.9 to 5.5.11</t>
        </is>
      </c>
      <c r="B18" s="17" t="inlineStr">
        <is>
          <t>Determining a significant increase in credit risk; the 30-days-past-due rebuttable presumption</t>
        </is>
      </c>
      <c r="C18" s="16">
        <f>Audit!D9</f>
        <v/>
      </c>
      <c r="D18" s="17" t="inlineStr">
        <is>
          <t>Audit row 9</t>
        </is>
      </c>
    </row>
    <row r="19">
      <c r="A19" s="16" t="inlineStr">
        <is>
          <t>B5.5.37</t>
        </is>
      </c>
      <c r="B19" s="17" t="inlineStr">
        <is>
          <t>Definition of default; the 90-days-past-due rebuttable presumption</t>
        </is>
      </c>
      <c r="C19" s="16">
        <f>Audit!D10</f>
        <v/>
      </c>
      <c r="D19" s="17" t="inlineStr">
        <is>
          <t>Audit row 10</t>
        </is>
      </c>
    </row>
    <row r="20">
      <c r="A20" s="15" t="inlineStr">
        <is>
          <t>5.5 MEASUREMENT</t>
        </is>
      </c>
    </row>
    <row r="21">
      <c r="A21" s="16" t="inlineStr">
        <is>
          <t>5.5.17</t>
        </is>
      </c>
      <c r="B21" s="17" t="inlineStr">
        <is>
          <t>Measurement of expected credit losses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B5.5.41 to B5.5.43</t>
        </is>
      </c>
      <c r="B22" s="17" t="inlineStr">
        <is>
          <t>Probability-weighted outcomes</t>
        </is>
      </c>
      <c r="C22" s="16">
        <f>Audit!D13</f>
        <v/>
      </c>
      <c r="D22" s="17" t="inlineStr">
        <is>
          <t>Audit row 13</t>
        </is>
      </c>
    </row>
    <row r="23">
      <c r="A23" s="16" t="inlineStr">
        <is>
          <t>B5.5.49 to B5.5.54</t>
        </is>
      </c>
      <c r="B23" s="17" t="inlineStr">
        <is>
          <t>Reasonable and supportable information; forward-looking information</t>
        </is>
      </c>
      <c r="C23" s="16">
        <f>Audit!D14</f>
        <v/>
      </c>
      <c r="D23" s="17" t="inlineStr">
        <is>
          <t>Audit row 14</t>
        </is>
      </c>
    </row>
    <row r="24">
      <c r="A24" s="16" t="inlineStr">
        <is>
          <t>B5.5.52 (transmission)</t>
        </is>
      </c>
      <c r="B24" s="17" t="inlineStr">
        <is>
          <t>How forward-looking information reaches the PD</t>
        </is>
      </c>
      <c r="C24" s="16">
        <f>Audit!D15</f>
        <v/>
      </c>
      <c r="D24" s="17" t="inlineStr">
        <is>
          <t>Audit row 15</t>
        </is>
      </c>
    </row>
    <row r="25">
      <c r="A25" s="16" t="inlineStr">
        <is>
          <t>B5.5.28 to B5.5.30</t>
        </is>
      </c>
      <c r="B25" s="17" t="inlineStr">
        <is>
          <t>Collective assessment and segmentation</t>
        </is>
      </c>
      <c r="C25" s="16">
        <f>Audit!D16</f>
        <v/>
      </c>
      <c r="D25" s="17" t="inlineStr">
        <is>
          <t>Audit row 16</t>
        </is>
      </c>
    </row>
    <row r="26">
      <c r="A26" s="16" t="inlineStr">
        <is>
          <t>B5.5.33 to B5.5.35</t>
        </is>
      </c>
      <c r="B26" s="17" t="inlineStr">
        <is>
          <t>Loss given default and collateral</t>
        </is>
      </c>
      <c r="C26" s="16">
        <f>Audit!D17</f>
        <v/>
      </c>
      <c r="D26" s="17" t="inlineStr">
        <is>
          <t>Audit row 17</t>
        </is>
      </c>
    </row>
    <row r="27">
      <c r="A27" s="16" t="inlineStr">
        <is>
          <t>5.5.17(b), B5.5.44</t>
        </is>
      </c>
      <c r="B27" s="17" t="inlineStr">
        <is>
          <t>Time value of money</t>
        </is>
      </c>
      <c r="C27" s="16">
        <f>Audit!D18</f>
        <v/>
      </c>
      <c r="D27" s="17" t="inlineStr">
        <is>
          <t>Audit row 18</t>
        </is>
      </c>
    </row>
    <row r="28">
      <c r="A28" s="15" t="inlineStr">
        <is>
          <t>5.5 WRITE-OFF AND PRESENTATION</t>
        </is>
      </c>
    </row>
    <row r="29">
      <c r="A29" s="16" t="inlineStr">
        <is>
          <t>5.4.4, B5.4.9</t>
        </is>
      </c>
      <c r="B29" s="17" t="inlineStr">
        <is>
          <t>Write-off</t>
        </is>
      </c>
      <c r="C29" s="16">
        <f>Audit!D20</f>
        <v/>
      </c>
      <c r="D29" s="17" t="inlineStr">
        <is>
          <t>Audit row 20</t>
        </is>
      </c>
    </row>
    <row r="30">
      <c r="A30" s="15" t="inlineStr">
        <is>
          <t>THE MEGA FARM PROGRAMME</t>
        </is>
      </c>
    </row>
    <row r="31">
      <c r="A31" s="16" t="inlineStr">
        <is>
          <t>16</t>
        </is>
      </c>
      <c r="B31" s="17" t="inlineStr">
        <is>
          <t>The Mega Farm loans in the allowance</t>
        </is>
      </c>
      <c r="C31" s="16">
        <f>Audit!D22</f>
        <v/>
      </c>
      <c r="D31" s="17" t="inlineStr">
        <is>
          <t>Audit row 22</t>
        </is>
      </c>
    </row>
    <row r="33">
      <c r="A33" s="18" t="inlineStr">
        <is>
          <t>Findings that need a decision or a fix: see the 'Findings' sheet</t>
        </is>
      </c>
    </row>
    <row r="34">
      <c r="A34" s="18" t="inlineStr">
        <is>
          <t>The acceptance ties read from the system: see the 'Baselines' sheet</t>
        </is>
      </c>
    </row>
    <row r="35">
      <c r="A35" s="19" t="inlineStr">
        <is>
          <t>Source: IFRS 9 Financial Instruments as issued by the IASB, section 5.5 and B5.5.1 to B5.5.55. The Reserve Bank of Malawi Financial Services (Credit Risk Management for Development Finance Institutions) Directive 2018 (docs/regulatory). Specification: docs/MAIIC_EIR_Engine_Specification_v4_2026-10-07.md sections 3.6, 13, 14, 15, 16.</t>
        </is>
      </c>
    </row>
  </sheetData>
  <mergeCells count="4">
    <mergeCell ref="A28:D28"/>
    <mergeCell ref="A30:D30"/>
    <mergeCell ref="A20:D20"/>
    <mergeCell ref="A14:D14"/>
  </mergeCells>
  <conditionalFormatting sqref="C14:C32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A loss allowance for expected credit losses"/>
    <hyperlink ref="D15" location="'Audit'!A6" display="Audit row 6"/>
    <hyperlink ref="B16" location="'Audit'!A7" display="Lifetime ECL on a significant increase in credit risk"/>
    <hyperlink ref="D16" location="'Audit'!A7" display="Audit row 7"/>
    <hyperlink ref="B17" location="'Audit'!A8" display="12-month ECL where credit risk has not increased significantly"/>
    <hyperlink ref="D17" location="'Audit'!A8" display="Audit row 8"/>
    <hyperlink ref="B18" location="'Audit'!A9" display="Determining a significant increase in credit risk; the 30-days-past-due rebuttable presumption"/>
    <hyperlink ref="D18" location="'Audit'!A9" display="Audit row 9"/>
    <hyperlink ref="B19" location="'Audit'!A10" display="Definition of default; the 90-days-past-due rebuttable presumption"/>
    <hyperlink ref="D19" location="'Audit'!A10" display="Audit row 10"/>
    <hyperlink ref="B21" location="'Audit'!A12" display="Measurement of expected credit losses"/>
    <hyperlink ref="D21" location="'Audit'!A12" display="Audit row 12"/>
    <hyperlink ref="B22" location="'Audit'!A13" display="Probability-weighted outcomes"/>
    <hyperlink ref="D22" location="'Audit'!A13" display="Audit row 13"/>
    <hyperlink ref="B23" location="'Audit'!A14" display="Reasonable and supportable information; forward-looking information"/>
    <hyperlink ref="D23" location="'Audit'!A14" display="Audit row 14"/>
    <hyperlink ref="B24" location="'Audit'!A15" display="How forward-looking information reaches the PD"/>
    <hyperlink ref="D24" location="'Audit'!A15" display="Audit row 15"/>
    <hyperlink ref="B25" location="'Audit'!A16" display="Collective assessment and segmentation"/>
    <hyperlink ref="D25" location="'Audit'!A16" display="Audit row 16"/>
    <hyperlink ref="B26" location="'Audit'!A17" display="Loss given default and collateral"/>
    <hyperlink ref="D26" location="'Audit'!A17" display="Audit row 17"/>
    <hyperlink ref="B27" location="'Audit'!A18" display="Time value of money"/>
    <hyperlink ref="D27" location="'Audit'!A18" display="Audit row 18"/>
    <hyperlink ref="B29" location="'Audit'!A20" display="Write-off"/>
    <hyperlink ref="D29" location="'Audit'!A20" display="Audit row 20"/>
    <hyperlink ref="B31" location="'Audit'!A22" display="The Mega Farm loans in the allowance"/>
    <hyperlink ref="D31" location="'Audit'!A22" display="Audit row 22"/>
    <hyperlink ref="A33" location="'Findings'!A1" display="Findings that need a decision or a fix: see the 'Findings' sheet"/>
    <hyperlink ref="A34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IFRS 9 Financial Instruments - impairment (5.5 and B5.5): staging, significant increase in credit risk, 12-month and lifetime expected credit losses, forward-looking information, write-off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8 October 2026 from the build of specification v4: the staged loan books of July 2024 to August 2026 on the clean install, the Governance Centre's staging and forward-looking settings, the forward-looking chain (fli:correlate), the scenario set of 15.8, and the PHPUnit suite. The PD engine (transition matrices) has not run on the clean install, so the ECL figures there are nil; the rows below audit the mechanics and the settings. Reviewer: Dr Thomson Kumwenda (CFO), then Deloitte.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5.5 RECOGNITION OF EXPECTED CREDIT LOSSES</t>
        </is>
      </c>
    </row>
    <row r="6">
      <c r="A6" s="22" t="inlineStr">
        <is>
          <t>5.5.1</t>
        </is>
      </c>
      <c r="B6" s="22" t="inlineStr">
        <is>
          <t>A loss allowance for expected credit losses</t>
        </is>
      </c>
      <c r="C6" s="22" t="inlineStr">
        <is>
          <t>Recognise a loss allowance for expected credit losses on a financial asset measured at amortised cost.</t>
        </is>
      </c>
      <c r="D6" s="23" t="inlineStr">
        <is>
          <t>Done</t>
        </is>
      </c>
      <c r="E6" s="22" t="inlineStr">
        <is>
          <t>TimePhasedEclService computes the allowance per loan as EAD x PD x LGD, discounted at the EIR, for the period; ifrs9:recalculate-ecl runs it per portfolio; the bootstrap runs it for the last period.</t>
        </is>
      </c>
      <c r="F6" s="22" t="inlineStr"/>
      <c r="G6" s="22" t="inlineStr">
        <is>
          <t>Compliant in mechanics; the PD engine must run for a figure.</t>
        </is>
      </c>
      <c r="H6" s="22" t="inlineStr">
        <is>
          <t>Financial Modelling, ECL Calculation: /expected-credit-loss</t>
        </is>
      </c>
      <c r="I6" s="22" t="inlineStr"/>
      <c r="J6" s="22" t="inlineStr"/>
      <c r="K6" s="22" t="inlineStr">
        <is>
          <t>Tests\Feature\Ecl\TimePhasedEclServiceTest; Tests\Feature\Ecl\EclDiscountRateServiceTest</t>
        </is>
      </c>
    </row>
    <row r="7">
      <c r="A7" s="22" t="inlineStr">
        <is>
          <t>5.5.3</t>
        </is>
      </c>
      <c r="B7" s="22" t="inlineStr">
        <is>
          <t>Lifetime ECL on a significant increase in credit risk</t>
        </is>
      </c>
      <c r="C7" s="22" t="inlineStr">
        <is>
          <t>At each reporting date, measure the loss allowance at lifetime ECL if the credit risk has increased significantly since initial recognition.</t>
        </is>
      </c>
      <c r="D7" s="23" t="inlineStr">
        <is>
          <t>Done</t>
        </is>
      </c>
      <c r="E7" s="22" t="inlineStr">
        <is>
          <t>StagingService stages every period: Stage 2 from 31 days past due in every class (the directive), the SICR flag from the qualitative groups, and the ECL takes the lifetime window for Stage 2.</t>
        </is>
      </c>
      <c r="F7" s="22" t="inlineStr">
        <is>
          <t>Spec v4 section 3.6, decision D31.</t>
        </is>
      </c>
      <c r="G7" s="22" t="inlineStr">
        <is>
          <t>Compliant.</t>
        </is>
      </c>
      <c r="H7" s="22" t="inlineStr">
        <is>
          <t>Governance Centre, Staging &amp; SICR Rules: /stageing-rules; Data Foundation, Loan Book</t>
        </is>
      </c>
      <c r="I7" s="22" t="inlineStr"/>
      <c r="J7" s="22" t="inlineStr">
        <is>
          <t>dpd_basis</t>
        </is>
      </c>
      <c r="K7" s="22" t="inlineStr">
        <is>
          <t>Tests\Feature\Eir\StagingServiceTest</t>
        </is>
      </c>
    </row>
    <row r="8">
      <c r="A8" s="22" t="inlineStr">
        <is>
          <t>5.5.5</t>
        </is>
      </c>
      <c r="B8" s="22" t="inlineStr">
        <is>
          <t>12-month ECL where credit risk has not increased significantly</t>
        </is>
      </c>
      <c r="C8" s="22" t="inlineStr">
        <is>
          <t>Measure the loss allowance at an amount equal to 12-month ECL where the credit risk has not increased significantly since initial recognition.</t>
        </is>
      </c>
      <c r="D8" s="23" t="inlineStr">
        <is>
          <t>Done</t>
        </is>
      </c>
      <c r="E8" s="22" t="inlineStr">
        <is>
          <t>Stage 1 loans take the 12-month PD window in the ECL service; the staging writes the stage every period.</t>
        </is>
      </c>
      <c r="F8" s="22" t="inlineStr"/>
      <c r="G8" s="22" t="inlineStr">
        <is>
          <t>Compliant.</t>
        </is>
      </c>
      <c r="H8" s="22" t="inlineStr">
        <is>
          <t>Financial Modelling, ECL Calculation: /expected-credit-loss</t>
        </is>
      </c>
      <c r="I8" s="22" t="inlineStr"/>
      <c r="J8" s="22" t="inlineStr"/>
      <c r="K8" s="22" t="inlineStr">
        <is>
          <t>Tests\Feature\Ecl\TimePhasedEclServiceTest</t>
        </is>
      </c>
    </row>
    <row r="9">
      <c r="A9" s="22" t="inlineStr">
        <is>
          <t>5.5.9 to 5.5.11</t>
        </is>
      </c>
      <c r="B9" s="22" t="inlineStr">
        <is>
          <t>Determining a significant increase in credit risk; the 30-days-past-due rebuttable presumption</t>
        </is>
      </c>
      <c r="C9" s="22" t="inlineStr">
        <is>
          <t>Assess the change in the risk of default since initial recognition using reasonable and supportable information; there is a rebuttable presumption that credit risk has increased significantly when payments are more than 30 days past due.</t>
        </is>
      </c>
      <c r="D9" s="23" t="inlineStr">
        <is>
          <t>Done</t>
        </is>
      </c>
      <c r="E9" s="22" t="inlineStr">
        <is>
          <t>Stage 2 from 31 days past due in every facility class; days counted from the oldest overdue instalment as the directive counts, with the bucket ageing beside it; a rebuttal of the presumption is a governed setting (staging_rebuttal) whose seeded value cites the directive; the LONG_TERM rule proposing 91 days is seeded future-dated and inactive pending CFO sign-off.</t>
        </is>
      </c>
      <c r="F9" s="22" t="inlineStr">
        <is>
          <t>The O13 rebuttal paper of 8 October.</t>
        </is>
      </c>
      <c r="G9" s="22" t="inlineStr">
        <is>
          <t>Compliant; the presumption is applied, the rebuttal is governed.</t>
        </is>
      </c>
      <c r="H9" s="22" t="inlineStr">
        <is>
          <t>Governance Centre, Staging &amp; SICR Rules: /stageing-rules; Data Foundation, Loan Book; Governance Centre: /eir-governance</t>
        </is>
      </c>
      <c r="I9" s="22" t="inlineStr"/>
      <c r="J9" s="22" t="inlineStr">
        <is>
          <t>staging_rebuttal; dpd_basis</t>
        </is>
      </c>
      <c r="K9" s="22" t="inlineStr">
        <is>
          <t>Tests\Feature\Eir\StagingThresholdSeederTest; Tests\Feature\Eir\StagingServiceTest</t>
        </is>
      </c>
    </row>
    <row r="10">
      <c r="A10" s="22" t="inlineStr">
        <is>
          <t>B5.5.37</t>
        </is>
      </c>
      <c r="B10" s="22" t="inlineStr">
        <is>
          <t>Definition of default; the 90-days-past-due rebuttable presumption</t>
        </is>
      </c>
      <c r="C10" s="22" t="inlineStr">
        <is>
          <t>Apply a definition of default consistent with the one used for internal credit risk management; there is a rebuttable presumption that default occurs no later than 90 days past due unless reasonable and supportable information supports a more lagging criterion.</t>
        </is>
      </c>
      <c r="D10" s="23" t="inlineStr">
        <is>
          <t>Done</t>
        </is>
      </c>
      <c r="E10" s="22" t="inlineStr">
        <is>
          <t>Stage 3 from 91 days for a facility of 12 months or less and for the Mega Farm class, and from 181 days for a medium- or long-term facility, as the RBM directive classifies them; the accounting policy's four-consecutive-missed-instalments trigger lifts a loan to Stage 3 beside the day count. The more lagging criterion rests on the directive, cited on each threshold row.</t>
        </is>
      </c>
      <c r="F10" s="22" t="inlineStr">
        <is>
          <t>Spec v4 section 3.6 compares the policy (90 days), the November 2025 model (181) and the directive (181/91).</t>
        </is>
      </c>
      <c r="G10" s="22" t="inlineStr">
        <is>
          <t>Compliant; the rebuttal is documented on the threshold rows.</t>
        </is>
      </c>
      <c r="H10" s="22" t="inlineStr">
        <is>
          <t>Governance Centre, Staging &amp; SICR Rules: /stageing-rules; Data Foundation, Loan Book</t>
        </is>
      </c>
      <c r="I10" s="22" t="inlineStr"/>
      <c r="J10" s="22" t="inlineStr">
        <is>
          <t>dpd_basis; stage3_missed_instalments; staging_rebuttal</t>
        </is>
      </c>
      <c r="K10" s="22" t="inlineStr">
        <is>
          <t>Tests\Feature\Eir\StagingServiceTest::test_the_directive_thresholds_by_tenor_class_and_the_bucket_fallback</t>
        </is>
      </c>
    </row>
    <row r="11">
      <c r="A11" s="15" t="inlineStr">
        <is>
          <t>5.5 MEASUREMENT</t>
        </is>
      </c>
    </row>
    <row r="12">
      <c r="A12" s="22" t="inlineStr">
        <is>
          <t>5.5.17</t>
        </is>
      </c>
      <c r="B12" s="22" t="inlineStr">
        <is>
          <t>Measurement of expected credit losses</t>
        </is>
      </c>
      <c r="C12" s="22" t="inlineStr">
        <is>
          <t>ECL is an unbiased, probability-weighted amount determined by evaluating a range of possible outcomes, the time value of money, and reasonable and supportable information about past events, current conditions and forecasts of future economic conditions.</t>
        </is>
      </c>
      <c r="D12" s="23" t="inlineStr">
        <is>
          <t>Partially done</t>
        </is>
      </c>
      <c r="E12" s="22" t="inlineStr">
        <is>
          <t>Probability weighting across scenarios is built as the governed weighting method (the ECL under each scenario, weighted; sensitivity stored with the set); discounting is at the EIR; the forward-looking chain produces fits from the macro series. The PD engine has not run on the clean install and no fit is approved by a MAIIC reviewer, so the weighted ECL is not yet produced for a period.</t>
        </is>
      </c>
      <c r="F12" s="22" t="inlineStr">
        <is>
          <t>Spec v4 sections 14, 15.</t>
        </is>
      </c>
      <c r="G12" s="22" t="inlineStr">
        <is>
          <t>Partially done: the mechanics are in place; the PD run and an approved fit are awaited.</t>
        </is>
      </c>
      <c r="H12" s="22" t="inlineStr">
        <is>
          <t>Financial Modelling, ECL Calculation: /expected-credit-loss; Governance Centre, Scenario Sets: /scenario-sets</t>
        </is>
      </c>
      <c r="I12" s="22" t="inlineStr"/>
      <c r="J12" s="22" t="inlineStr">
        <is>
          <t>scenario_weighting_method; fli_adjustment_route</t>
        </is>
      </c>
      <c r="K12" s="22" t="inlineStr">
        <is>
          <t>Tests\Feature\Scenario\ScenarioSetServiceTest; Tests\Feature\Ecl\EclDiscountRateServiceTest</t>
        </is>
      </c>
    </row>
    <row r="13">
      <c r="A13" s="22" t="inlineStr">
        <is>
          <t>B5.5.41 to B5.5.43</t>
        </is>
      </c>
      <c r="B13" s="22" t="inlineStr">
        <is>
          <t>Probability-weighted outcomes</t>
        </is>
      </c>
      <c r="C13" s="22" t="inlineStr">
        <is>
          <t>The estimate reflects the possibility that a credit loss occurs and the possibility that none occurs; a range of scenarios, at least two, weighted by their probabilities.</t>
        </is>
      </c>
      <c r="D13" s="23" t="inlineStr">
        <is>
          <t>Done</t>
        </is>
      </c>
      <c r="E13" s="22" t="inlineStr">
        <is>
          <t>The governed scenario set: three or more scenarios, weights summing to 100, the base at least 40 percent and no single weight above 60, every scenario but the base a shock on the base path; the first set (Base 50, Upside 15, Downside 25, Severe 10) is seeded as a proposal for the CFO, each anchored to a year Malawi has lived through.</t>
        </is>
      </c>
      <c r="F13" s="22" t="inlineStr">
        <is>
          <t>Spec v4 section 15.</t>
        </is>
      </c>
      <c r="G13" s="22" t="inlineStr">
        <is>
          <t>Compliant.</t>
        </is>
      </c>
      <c r="H13" s="22" t="inlineStr">
        <is>
          <t>Governance Centre, Scenario Sets: /scenario-sets</t>
        </is>
      </c>
      <c r="I13" s="22" t="inlineStr"/>
      <c r="J13" s="22" t="inlineStr">
        <is>
          <t>scenario_minimum_count; scenario_weight_bounds; scenario_calibration_note</t>
        </is>
      </c>
      <c r="K13" s="22" t="inlineStr">
        <is>
          <t>Tests\Feature\Scenario\ScenarioSetServiceTest</t>
        </is>
      </c>
    </row>
    <row r="14">
      <c r="A14" s="22" t="inlineStr">
        <is>
          <t>B5.5.49 to B5.5.54</t>
        </is>
      </c>
      <c r="B14" s="22" t="inlineStr">
        <is>
          <t>Reasonable and supportable information; forward-looking information</t>
        </is>
      </c>
      <c r="C14" s="22" t="inlineStr">
        <is>
          <t>Use information that is reasonably available without undue cost or effort, including forecasts of future economic conditions; where a statistical relationship is used it must be supportable.</t>
        </is>
      </c>
      <c r="D14" s="23" t="inlineStr">
        <is>
          <t>Done</t>
        </is>
      </c>
      <c r="E14" s="22" t="inlineStr">
        <is>
          <t>Eleven Malawi macro series from the World Bank with their provenance (source, address, fetched-at, who) and a committed snapshot; the forward-looking chain sweeps every driver against every credit-loss proxy over the lag grid under the guardrail (expected sign, R2 cutoff, p-value, minimum observations) and declines a fit that fails with the reason; the structural-events register (the 2023 devaluation, COVID, the policy-rate cycle, the E-Banker take-on) is read by the diagnostics.</t>
        </is>
      </c>
      <c r="F14" s="22" t="inlineStr">
        <is>
          <t>On the clean install: 209 fits, 39 applied by the guardrail, 170 declined.</t>
        </is>
      </c>
      <c r="G14" s="22" t="inlineStr">
        <is>
          <t>Compliant; an applied fit is a proposal under maker-checker.</t>
        </is>
      </c>
      <c r="H14" s="22" t="inlineStr">
        <is>
          <t>Financial Modelling, Forward-Looking Model: /regression; fli:correlate; fli:method-cards; Data Foundation, Macro Statistics</t>
        </is>
      </c>
      <c r="I14" s="22" t="inlineStr"/>
      <c r="J14" s="22" t="inlineStr">
        <is>
          <t>fli_expected_sign_test; fli_r2_cutoff; fli_min_observations; fli_alpha; macro_source_precedence</t>
        </is>
      </c>
      <c r="K14" s="22" t="inlineStr">
        <is>
          <t>Tests\Feature\FLI\FliBridgeServiceTest</t>
        </is>
      </c>
    </row>
    <row r="15">
      <c r="A15" s="22" t="inlineStr">
        <is>
          <t>B5.5.52 (transmission)</t>
        </is>
      </c>
      <c r="B15" s="22" t="inlineStr">
        <is>
          <t>How forward-looking information reaches the PD</t>
        </is>
      </c>
      <c r="C15" s="22" t="inlineStr">
        <is>
          <t>The method of adjusting the PD for the forecast must be documented and supportable.</t>
        </is>
      </c>
      <c r="D15" s="23" t="inlineStr">
        <is>
          <t>Done</t>
        </is>
      </c>
      <c r="E15" s="22" t="inlineStr">
        <is>
          <t>Five governed transmission methods, each with a card: what it does, the formula, what it implies, its preconditions checked live against the data with the deciding figure, and a worked example on one loan; a method whose preconditions are not met cannot be selected; the scalar is seeded because the history cannot yet support the richer methods.</t>
        </is>
      </c>
      <c r="F15" s="22" t="inlineStr">
        <is>
          <t>Spec v4 section 14.7.</t>
        </is>
      </c>
      <c r="G15" s="22" t="inlineStr">
        <is>
          <t>Compliant.</t>
        </is>
      </c>
      <c r="H15" s="22" t="inlineStr">
        <is>
          <t>Financial Modelling, Forward-Looking Model: /regression; fli:correlate; fli:method-cards (fli:method-cards; /fli/transmission-methods)</t>
        </is>
      </c>
      <c r="I15" s="22" t="inlineStr"/>
      <c r="J15" s="22" t="inlineStr">
        <is>
          <t>fli_transmission_method; fli_asset_correlation</t>
        </is>
      </c>
      <c r="K15" s="22" t="inlineStr">
        <is>
          <t>Tests\Feature\FLI\TransmissionMethodCatalogueTest</t>
        </is>
      </c>
    </row>
    <row r="16">
      <c r="A16" s="22" t="inlineStr">
        <is>
          <t>B5.5.28 to B5.5.30</t>
        </is>
      </c>
      <c r="B16" s="22" t="inlineStr">
        <is>
          <t>Collective assessment and segmentation</t>
        </is>
      </c>
      <c r="C16" s="22" t="inlineStr">
        <is>
          <t>Where information is not available at the instrument level, assess on a collective basis grouped by shared credit-risk characteristics.</t>
        </is>
      </c>
      <c r="D16" s="23" t="inlineStr">
        <is>
          <t>Partially done</t>
        </is>
      </c>
      <c r="E16" s="22" t="inlineStr">
        <is>
          <t>Credit-loss proxies are produced for the book and per product group (NPL ratio, Stage 3 share, 12-month default rate), and the segment-specific scalar is a governed method; the PD transition matrices by grade run from their screen and are not yet in the bootstrap chain.</t>
        </is>
      </c>
      <c r="F16" s="22" t="inlineStr"/>
      <c r="G16" s="22" t="inlineStr">
        <is>
          <t>Partially done.</t>
        </is>
      </c>
      <c r="H16" s="22" t="inlineStr">
        <is>
          <t>Financial Modelling, Forward-Looking Model: /regression; fli:correlate; fli:method-cards; Financial Modelling, PD Model</t>
        </is>
      </c>
      <c r="I16" s="22" t="inlineStr"/>
      <c r="J16" s="22" t="inlineStr">
        <is>
          <t>fli_transmission_method</t>
        </is>
      </c>
      <c r="K16" s="22" t="inlineStr">
        <is>
          <t>Tests\Feature\FLI\FliBridgeServiceTest</t>
        </is>
      </c>
    </row>
    <row r="17">
      <c r="A17" s="22" t="inlineStr">
        <is>
          <t>B5.5.33 to B5.5.35</t>
        </is>
      </c>
      <c r="B17" s="22" t="inlineStr">
        <is>
          <t>Loss given default and collateral</t>
        </is>
      </c>
      <c r="C17" s="22" t="inlineStr">
        <is>
          <t>The cash shortfalls reflect the cash flows expected from collateral and other credit enhancements that are part of the contractual terms.</t>
        </is>
      </c>
      <c r="D17" s="23" t="inlineStr">
        <is>
          <t>Evidence needed from MAIIC</t>
        </is>
      </c>
      <c r="E17" s="22" t="inlineStr">
        <is>
          <t>LGD runs from the LGD screens (monthly and cumulative); the security register (P2_11, 185 rows) is landed and 31 active accounts carry no security on it (the request to Credit of 7 October).</t>
        </is>
      </c>
      <c r="F17" s="22" t="inlineStr"/>
      <c r="G17" s="22" t="inlineStr">
        <is>
          <t>Evidence needed: the collateral for the 31 accounts; the valuations.</t>
        </is>
      </c>
      <c r="H17" s="22" t="inlineStr">
        <is>
          <t>Financial Modelling, LGD Model; Data Foundation, Collateral Register</t>
        </is>
      </c>
      <c r="I17" s="22" t="inlineStr"/>
      <c r="J17" s="22" t="inlineStr"/>
      <c r="K17" s="22" t="inlineStr"/>
    </row>
    <row r="18">
      <c r="A18" s="22" t="inlineStr">
        <is>
          <t>5.5.17(b), B5.5.44</t>
        </is>
      </c>
      <c r="B18" s="22" t="inlineStr">
        <is>
          <t>Time value of money</t>
        </is>
      </c>
      <c r="C18" s="22" t="inlineStr">
        <is>
          <t>Discount the expected credit losses at the EIR determined at initial recognition.</t>
        </is>
      </c>
      <c r="D18" s="23" t="inlineStr">
        <is>
          <t>Done</t>
        </is>
      </c>
      <c r="E18" s="22" t="inlineStr">
        <is>
          <t>EclDiscountRateService takes the locked EIR of the loan (the contractual rate where none is locked, and says so on the row); the bootstrap solves and locks the EIR before the ECL for this reason.</t>
        </is>
      </c>
      <c r="F18" s="22" t="inlineStr"/>
      <c r="G18" s="22" t="inlineStr">
        <is>
          <t>Compliant.</t>
        </is>
      </c>
      <c r="H18" s="22" t="inlineStr">
        <is>
          <t>Financial Modelling, ECL Calculation: /expected-credit-loss</t>
        </is>
      </c>
      <c r="I18" s="22" t="inlineStr"/>
      <c r="J18" s="22" t="inlineStr"/>
      <c r="K18" s="22" t="inlineStr">
        <is>
          <t>Tests\Feature\Ecl\EclDiscountRateServiceTest</t>
        </is>
      </c>
    </row>
    <row r="19">
      <c r="A19" s="15" t="inlineStr">
        <is>
          <t>5.5 WRITE-OFF AND PRESENTATION</t>
        </is>
      </c>
    </row>
    <row r="20">
      <c r="A20" s="22" t="inlineStr">
        <is>
          <t>5.4.4, B5.4.9</t>
        </is>
      </c>
      <c r="B20" s="22" t="inlineStr">
        <is>
          <t>Write-off</t>
        </is>
      </c>
      <c r="C20" s="22" t="inlineStr">
        <is>
          <t>Write off the gross carrying amount when there is no reasonable expectation of recovery.</t>
        </is>
      </c>
      <c r="D20" s="23" t="inlineStr">
        <is>
          <t>Evidence needed from MAIIC</t>
        </is>
      </c>
      <c r="E20" s="22" t="inlineStr">
        <is>
          <t>No write-off has been posted in E-Banker since the take-on (DD_16i returned no rows); the policy is MAIIC's to state.</t>
        </is>
      </c>
      <c r="F20" s="22" t="inlineStr"/>
      <c r="G20" s="22" t="inlineStr">
        <is>
          <t>Evidence needed: the write-off policy.</t>
        </is>
      </c>
      <c r="H20" s="22" t="inlineStr">
        <is>
          <t>Financial Modelling, ECL Calculation: /expected-credit-loss</t>
        </is>
      </c>
      <c r="I20" s="22" t="inlineStr"/>
      <c r="J20" s="22" t="inlineStr"/>
      <c r="K20" s="22" t="inlineStr"/>
    </row>
    <row r="21">
      <c r="A21" s="15" t="inlineStr">
        <is>
          <t>THE MEGA FARM PROGRAMME</t>
        </is>
      </c>
    </row>
    <row r="22">
      <c r="A22" s="22" t="inlineStr">
        <is>
          <t>16</t>
        </is>
      </c>
      <c r="B22" s="22" t="inlineStr">
        <is>
          <t>The Mega Farm loans in the allowance</t>
        </is>
      </c>
      <c r="C22" s="22" t="inlineStr">
        <is>
          <t>Loans extended under the Government's Mega Farm programme (losses to the fund; MAIIC's 5 percent share) must be in the ECL on a documented basis.</t>
        </is>
      </c>
      <c r="D22" s="23" t="inlineStr">
        <is>
          <t>Evidence needed from MAIIC</t>
        </is>
      </c>
      <c r="E22" s="22" t="inlineStr">
        <is>
          <t>The system holds a November 2025 Mega Farm loan book of 3,490 loans across six GLs (K54.85 bn), found by the build, staged under the MEGA_FARM class (91 days); the programme's treatment (decision D30: out of the EIR engine, in the ECL module, 5 percent share on net) and the PD method (seeded: the agricultural-sector PD scaled to the programme) are governed settings awaiting the CFO's confirmation.</t>
        </is>
      </c>
      <c r="F22" s="22" t="inlineStr">
        <is>
          <t>Spec v4 section 16; the O22 paper of 8 October.</t>
        </is>
      </c>
      <c r="G22" s="22" t="inlineStr">
        <is>
          <t>Evidence needed: the CFO's confirmation of D30; how the K39.76 bn provision of 2025 was arrived at; the monthly Mega Farm books.</t>
        </is>
      </c>
      <c r="H22" s="22" t="inlineStr">
        <is>
          <t>Governance Centre: /eir-governance; Data Foundation, Loan Book (2025-11)</t>
        </is>
      </c>
      <c r="I22" s="22" t="inlineStr"/>
      <c r="J22" s="22" t="inlineStr">
        <is>
          <t>mega_farms_scope; megafarm_pd_method; megafarm_scalar_ceiling</t>
        </is>
      </c>
      <c r="K22" s="22" t="inlineStr"/>
    </row>
  </sheetData>
  <autoFilter ref="A4:K22"/>
  <mergeCells count="5">
    <mergeCell ref="A21:K21"/>
    <mergeCell ref="A2:K2"/>
    <mergeCell ref="A11:K11"/>
    <mergeCell ref="A19:K19"/>
    <mergeCell ref="A5:K5"/>
  </mergeCells>
  <conditionalFormatting sqref="D5:D22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22">
    <cfRule type="expression" priority="6" dxfId="2">
      <formula>AND($D5="Done",$K5="")</formula>
    </cfRule>
  </conditionalFormatting>
  <dataValidations count="1">
    <dataValidation sqref="D5:D22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5.5.17</t>
        </is>
      </c>
      <c r="C5" s="22" t="inlineStr">
        <is>
          <t>The PD and LGD of the clean install are the bootstrap's, not MAIIC's</t>
        </is>
      </c>
      <c r="D5" s="22" t="inlineStr">
        <is>
          <t>PdEngineService and LgdEngineService run the transition matrix and the cohort workout under the bootstrap label; no MAIIC reviewer has key-locked a matrix or an LGD calculation in the system.</t>
        </is>
      </c>
      <c r="E5" s="22" t="inlineStr">
        <is>
          <t>The ECL of 8.33bn at August 2026 is a system figure awaiting review.</t>
        </is>
      </c>
      <c r="F5" s="22" t="inlineStr">
        <is>
          <t>A reviewer key-locks the matrix and the LGD on their screens; the ECL is then re-run under the approved scenario set.</t>
        </is>
      </c>
      <c r="G5" s="22" t="inlineStr">
        <is>
          <t>Dr Thom / the reviewer</t>
        </is>
      </c>
      <c r="H5" s="22" t="inlineStr">
        <is>
          <t>Open</t>
        </is>
      </c>
    </row>
    <row r="6">
      <c r="A6" s="22" t="inlineStr">
        <is>
          <t>F2</t>
        </is>
      </c>
      <c r="B6" s="22" t="inlineStr">
        <is>
          <t>B5.5.49</t>
        </is>
      </c>
      <c r="C6" s="22" t="inlineStr">
        <is>
          <t>No fit is approved by a MAIIC reviewer</t>
        </is>
      </c>
      <c r="D6" s="22" t="inlineStr">
        <is>
          <t>The chain applied 39 fits by the guardrail; approval of a fit for use in the FLI route is a maker-checker decision not yet taken.</t>
        </is>
      </c>
      <c r="E6" s="22" t="inlineStr">
        <is>
          <t>The forward-looking adjustment is the manual overlay at zero until then.</t>
        </is>
      </c>
      <c r="F6" s="22" t="inlineStr">
        <is>
          <t>A reviewer approves a fit on the FLI Adjustments screen; a second person reviews.</t>
        </is>
      </c>
      <c r="G6" s="22" t="inlineStr">
        <is>
          <t>Dr Thom / the reviewer</t>
        </is>
      </c>
      <c r="H6" s="22" t="inlineStr">
        <is>
          <t>Open</t>
        </is>
      </c>
    </row>
    <row r="7">
      <c r="A7" s="22" t="inlineStr">
        <is>
          <t>F3</t>
        </is>
      </c>
      <c r="B7" s="24" t="inlineStr">
        <is>
          <t>16</t>
        </is>
      </c>
      <c r="C7" s="22" t="inlineStr">
        <is>
          <t>The Mega Farm provision basis is undocumented in the system</t>
        </is>
      </c>
      <c r="D7" s="22" t="inlineStr">
        <is>
          <t>The 2025 statements carry K39.76 bn against K48.7 bn Stage 3; the November 2025 book in the system is mostly Stage 1 by days past due.</t>
        </is>
      </c>
      <c r="E7" s="22" t="inlineStr">
        <is>
          <t>The ECL golden number at 31 December 2025 cannot be set.</t>
        </is>
      </c>
      <c r="F7" s="22" t="inlineStr">
        <is>
          <t>The CFO confirms D30 and the provisioning method; the monthly Mega Farm books are loaded by the feed (MF_01 to MF_08).</t>
        </is>
      </c>
      <c r="G7" s="22" t="inlineStr">
        <is>
          <t>Dr Thom / Barry</t>
        </is>
      </c>
      <c r="H7" s="22" t="inlineStr">
        <is>
          <t>Open</t>
        </is>
      </c>
    </row>
  </sheetData>
  <dataValidations count="1">
    <dataValidation sqref="H5:H7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2" display="5.5.17"/>
    <hyperlink ref="B7" location="'Audit'!A22" display="16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2026-10-08 20:35:55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2026-10-08T18:35:55Z</dcterms:created>
  <dcterms:modified xmlns:dcterms="http://purl.org/dc/terms/" xmlns:xsi="http://www.w3.org/2001/XMLSchema-instance" xsi:type="dcterms:W3CDTF">2026-10-08T18:35:55Z</dcterms:modified>
</cp:coreProperties>
</file>