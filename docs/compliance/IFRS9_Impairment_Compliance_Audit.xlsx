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s" sheetId="1" state="visible" r:id="rId1"/>
    <sheet xmlns:r="http://schemas.openxmlformats.org/officeDocument/2006/relationships" name="Audit" sheetId="2" state="visible" r:id="rId2"/>
    <sheet xmlns:r="http://schemas.openxmlformats.org/officeDocument/2006/relationships" name="Findings" sheetId="3" state="visible" r:id="rId3"/>
    <sheet xmlns:r="http://schemas.openxmlformats.org/officeDocument/2006/relationships" name="Baselines" sheetId="4" state="visible" r:id="rId4"/>
  </sheets>
  <definedNames>
    <definedName name="_xlnm._FilterDatabase" localSheetId="1" hidden="1">'Audit'!$A$4:$K$22</definedName>
    <definedName name="_xlnm.Print_Titles" localSheetId="1">'Audit'!$4:$4</definedName>
    <definedName name="_xlnm.Print_Titles" localSheetId="2">'Findings'!$4:$4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0B2B1A"/>
      <sz val="13"/>
    </font>
    <font>
      <name val="Arial"/>
      <i val="1"/>
      <color rgb="00595959"/>
      <sz val="9"/>
    </font>
    <font>
      <name val="Arial"/>
      <color rgb="000563C1"/>
      <sz val="9"/>
      <u val="single"/>
    </font>
    <font>
      <name val="Arial"/>
      <b val="1"/>
      <color rgb="00FFFFFF"/>
      <sz val="10"/>
    </font>
    <font>
      <name val="Arial"/>
      <b val="1"/>
      <color rgb="000B2B1A"/>
      <sz val="10"/>
    </font>
    <font>
      <name val="Arial"/>
      <sz val="9"/>
    </font>
    <font>
      <name val="Arial"/>
      <b val="1"/>
      <sz val="9"/>
    </font>
    <font>
      <name val="Arial"/>
      <b val="1"/>
      <color rgb="000B2B1A"/>
      <sz val="14"/>
    </font>
    <font>
      <name val="Arial"/>
      <i val="1"/>
      <color rgb="00595959"/>
      <sz val="8"/>
    </font>
  </fonts>
  <fills count="9">
    <fill>
      <patternFill/>
    </fill>
    <fill>
      <patternFill patternType="gray125"/>
    </fill>
    <fill>
      <patternFill patternType="solid">
        <fgColor rgb="000B2B1A"/>
      </patternFill>
    </fill>
    <fill>
      <patternFill patternType="solid">
        <fgColor rgb="00FBF0E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9D9D9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7" fillId="4" borderId="1" pivotButton="0" quotePrefix="0" xfId="0"/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top"/>
    </xf>
    <xf numFmtId="0" fontId="7" fillId="5" borderId="1" pivotButton="0" quotePrefix="0" xfId="0"/>
    <xf numFmtId="0" fontId="7" fillId="6" borderId="1" pivotButton="0" quotePrefix="0" xfId="0"/>
    <xf numFmtId="0" fontId="7" fillId="7" borderId="1" pivotButton="0" quotePrefix="0" xfId="0"/>
    <xf numFmtId="0" fontId="7" fillId="8" borderId="1" pivotButton="0" quotePrefix="0" xfId="0"/>
    <xf numFmtId="0" fontId="7" fillId="0" borderId="0" pivotButton="0" quotePrefix="0" xfId="0"/>
    <xf numFmtId="0" fontId="7" fillId="0" borderId="0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5" fillId="3" borderId="0" pivotButton="0" quotePrefix="0" xfId="0"/>
    <xf numFmtId="0" fontId="6" fillId="0" borderId="1" pivotButton="0" quotePrefix="0" xfId="0"/>
    <xf numFmtId="0" fontId="3" fillId="0" borderId="1" pivotButton="0" quotePrefix="0" xfId="0"/>
    <xf numFmtId="0" fontId="3" fillId="0" borderId="0" pivotButton="0" quotePrefix="0" xfId="0"/>
    <xf numFmtId="0" fontId="9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4" fontId="6" fillId="0" borderId="1" applyAlignment="1" pivotButton="0" quotePrefix="0" xfId="0">
      <alignment vertical="top" wrapText="1"/>
    </xf>
    <xf numFmtId="0" fontId="7" fillId="0" borderId="1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B8860B"/>
    <outlinePr summaryBelow="1" summaryRight="1"/>
    <pageSetUpPr fitToPage="1"/>
  </sheetPr>
  <dimension ref="A1:D3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62" customWidth="1" min="2" max="2"/>
    <col width="30" customWidth="1" min="3" max="3"/>
    <col width="16" customWidth="1" min="4" max="4"/>
  </cols>
  <sheetData>
    <row r="1">
      <c r="A1" s="1" t="inlineStr">
        <is>
          <t>IFRS 9 - impairment - compliance audit</t>
        </is>
      </c>
    </row>
    <row r="2">
      <c r="A2" s="2" t="inlineStr">
        <is>
          <t>Contents (the standard's own order of sections). Click a section to open its row on the Audit sheet.</t>
        </is>
      </c>
    </row>
    <row r="4">
      <c r="A4" s="3" t="inlineStr">
        <is>
          <t>Status definitions</t>
        </is>
      </c>
      <c r="C4" s="4" t="inlineStr">
        <is>
          <t>Sections</t>
        </is>
      </c>
    </row>
    <row r="5" ht="26" customHeight="1">
      <c r="A5" s="5" t="inlineStr">
        <is>
          <t>Done</t>
        </is>
      </c>
      <c r="B5" s="6" t="inlineStr">
        <is>
          <t>Implemented in the system and visible in an approved output; the test in column 11 fails if the behaviour changes.</t>
        </is>
      </c>
      <c r="C5" s="7">
        <f>COUNTIF(Audit!$D:$D,"Done")</f>
        <v/>
      </c>
    </row>
    <row r="6" ht="26" customHeight="1">
      <c r="A6" s="8" t="inlineStr">
        <is>
          <t>Partially done</t>
        </is>
      </c>
      <c r="B6" s="6" t="inlineStr">
        <is>
          <t>The mechanics are in place, but a parameter, an input or a piece of evidence still differs from the requirement.</t>
        </is>
      </c>
      <c r="C6" s="7">
        <f>COUNTIF(Audit!$D:$D,"Partially done")</f>
        <v/>
      </c>
    </row>
    <row r="7" ht="26" customHeight="1">
      <c r="A7" s="9" t="inlineStr">
        <is>
          <t>Outstanding</t>
        </is>
      </c>
      <c r="B7" s="6" t="inlineStr">
        <is>
          <t>Required for MAIIC and not built.</t>
        </is>
      </c>
      <c r="C7" s="7">
        <f>COUNTIF(Audit!$D:$D,"Outstanding")</f>
        <v/>
      </c>
    </row>
    <row r="8" ht="26" customHeight="1">
      <c r="A8" s="10" t="inlineStr">
        <is>
          <t>Not applicable, documented</t>
        </is>
      </c>
      <c r="B8" s="6" t="inlineStr">
        <is>
          <t>Does not apply to MAIIC by a recorded decision or fact (reason and reference given); revisit if the facts change.</t>
        </is>
      </c>
      <c r="C8" s="7">
        <f>COUNTIF(Audit!$D:$D,"Not applicable, documented")</f>
        <v/>
      </c>
    </row>
    <row r="9" ht="26" customHeight="1">
      <c r="A9" s="11" t="inlineStr">
        <is>
          <t>Evidence needed from MAIIC</t>
        </is>
      </c>
      <c r="B9" s="6" t="inlineStr">
        <is>
          <t>The system is ready; MAIIC must supply a document, minute or dataset before the row can be closed.</t>
        </is>
      </c>
      <c r="C9" s="7">
        <f>COUNTIF(Audit!$D:$D,"Evidence needed from MAIIC")</f>
        <v/>
      </c>
    </row>
    <row r="10">
      <c r="A10" s="12" t="inlineStr">
        <is>
          <t>Sections audited</t>
        </is>
      </c>
      <c r="C10" s="13">
        <f>COUNTA(Audit!$A$5:$A$22)-4</f>
        <v/>
      </c>
    </row>
    <row r="11">
      <c r="A11" s="12" t="inlineStr">
        <is>
          <t>Baselines passing</t>
        </is>
      </c>
      <c r="C11" s="13">
        <f>COUNTIF(Baselines!$E:$E,"PASS")&amp;" of "&amp;COUNTA(Baselines!$A$5:$A$500)</f>
        <v/>
      </c>
    </row>
    <row r="13">
      <c r="A13" s="14" t="inlineStr">
        <is>
          <t>Ref</t>
        </is>
      </c>
      <c r="B13" s="14" t="inlineStr">
        <is>
          <t>Section</t>
        </is>
      </c>
      <c r="C13" s="14" t="inlineStr">
        <is>
          <t>Status</t>
        </is>
      </c>
      <c r="D13" s="14" t="inlineStr">
        <is>
          <t>Open in Audit</t>
        </is>
      </c>
    </row>
    <row r="14">
      <c r="A14" s="15" t="inlineStr">
        <is>
          <t>5.5 RECOGNITION OF EXPECTED CREDIT LOSSES</t>
        </is>
      </c>
    </row>
    <row r="15">
      <c r="A15" s="16" t="inlineStr">
        <is>
          <t>5.5.1</t>
        </is>
      </c>
      <c r="B15" s="17" t="inlineStr">
        <is>
          <t>A loss allowance for expected credit losses</t>
        </is>
      </c>
      <c r="C15" s="16">
        <f>Audit!D6</f>
        <v/>
      </c>
      <c r="D15" s="17" t="inlineStr">
        <is>
          <t>Audit row 6</t>
        </is>
      </c>
    </row>
    <row r="16">
      <c r="A16" s="16" t="inlineStr">
        <is>
          <t>5.5.3</t>
        </is>
      </c>
      <c r="B16" s="17" t="inlineStr">
        <is>
          <t>Lifetime ECL on a significant increase in credit risk</t>
        </is>
      </c>
      <c r="C16" s="16">
        <f>Audit!D7</f>
        <v/>
      </c>
      <c r="D16" s="17" t="inlineStr">
        <is>
          <t>Audit row 7</t>
        </is>
      </c>
    </row>
    <row r="17">
      <c r="A17" s="16" t="inlineStr">
        <is>
          <t>5.5.5</t>
        </is>
      </c>
      <c r="B17" s="17" t="inlineStr">
        <is>
          <t>12-month ECL where credit risk has not increased significantly</t>
        </is>
      </c>
      <c r="C17" s="16">
        <f>Audit!D8</f>
        <v/>
      </c>
      <c r="D17" s="17" t="inlineStr">
        <is>
          <t>Audit row 8</t>
        </is>
      </c>
    </row>
    <row r="18">
      <c r="A18" s="16" t="inlineStr">
        <is>
          <t>5.5.9 to 5.5.11</t>
        </is>
      </c>
      <c r="B18" s="17" t="inlineStr">
        <is>
          <t>Determining a significant increase in credit risk; the 30-days-past-due rebuttable presumption</t>
        </is>
      </c>
      <c r="C18" s="16">
        <f>Audit!D9</f>
        <v/>
      </c>
      <c r="D18" s="17" t="inlineStr">
        <is>
          <t>Audit row 9</t>
        </is>
      </c>
    </row>
    <row r="19">
      <c r="A19" s="16" t="inlineStr">
        <is>
          <t>B5.5.37</t>
        </is>
      </c>
      <c r="B19" s="17" t="inlineStr">
        <is>
          <t>Definition of default; the 90-days-past-due rebuttable presumption</t>
        </is>
      </c>
      <c r="C19" s="16">
        <f>Audit!D10</f>
        <v/>
      </c>
      <c r="D19" s="17" t="inlineStr">
        <is>
          <t>Audit row 10</t>
        </is>
      </c>
    </row>
    <row r="20">
      <c r="A20" s="15" t="inlineStr">
        <is>
          <t>5.5 MEASUREMENT</t>
        </is>
      </c>
    </row>
    <row r="21">
      <c r="A21" s="16" t="inlineStr">
        <is>
          <t>5.5.17</t>
        </is>
      </c>
      <c r="B21" s="17" t="inlineStr">
        <is>
          <t>Measurement of expected credit losses</t>
        </is>
      </c>
      <c r="C21" s="16">
        <f>Audit!D12</f>
        <v/>
      </c>
      <c r="D21" s="17" t="inlineStr">
        <is>
          <t>Audit row 12</t>
        </is>
      </c>
    </row>
    <row r="22">
      <c r="A22" s="16" t="inlineStr">
        <is>
          <t>B5.5.41 to B5.5.43</t>
        </is>
      </c>
      <c r="B22" s="17" t="inlineStr">
        <is>
          <t>Probability-weighted outcomes</t>
        </is>
      </c>
      <c r="C22" s="16">
        <f>Audit!D13</f>
        <v/>
      </c>
      <c r="D22" s="17" t="inlineStr">
        <is>
          <t>Audit row 13</t>
        </is>
      </c>
    </row>
    <row r="23">
      <c r="A23" s="16" t="inlineStr">
        <is>
          <t>B5.5.49 to B5.5.54</t>
        </is>
      </c>
      <c r="B23" s="17" t="inlineStr">
        <is>
          <t>Reasonable and supportable information; forward-looking information</t>
        </is>
      </c>
      <c r="C23" s="16">
        <f>Audit!D14</f>
        <v/>
      </c>
      <c r="D23" s="17" t="inlineStr">
        <is>
          <t>Audit row 14</t>
        </is>
      </c>
    </row>
    <row r="24">
      <c r="A24" s="16" t="inlineStr">
        <is>
          <t>B5.5.52 (transmission)</t>
        </is>
      </c>
      <c r="B24" s="17" t="inlineStr">
        <is>
          <t>How forward-looking information reaches the PD</t>
        </is>
      </c>
      <c r="C24" s="16">
        <f>Audit!D15</f>
        <v/>
      </c>
      <c r="D24" s="17" t="inlineStr">
        <is>
          <t>Audit row 15</t>
        </is>
      </c>
    </row>
    <row r="25">
      <c r="A25" s="16" t="inlineStr">
        <is>
          <t>B5.5.28 to B5.5.30</t>
        </is>
      </c>
      <c r="B25" s="17" t="inlineStr">
        <is>
          <t>Collective assessment and segmentation</t>
        </is>
      </c>
      <c r="C25" s="16">
        <f>Audit!D16</f>
        <v/>
      </c>
      <c r="D25" s="17" t="inlineStr">
        <is>
          <t>Audit row 16</t>
        </is>
      </c>
    </row>
    <row r="26">
      <c r="A26" s="16" t="inlineStr">
        <is>
          <t>B5.5.33 to B5.5.35</t>
        </is>
      </c>
      <c r="B26" s="17" t="inlineStr">
        <is>
          <t>Loss given default and collateral</t>
        </is>
      </c>
      <c r="C26" s="16">
        <f>Audit!D17</f>
        <v/>
      </c>
      <c r="D26" s="17" t="inlineStr">
        <is>
          <t>Audit row 17</t>
        </is>
      </c>
    </row>
    <row r="27">
      <c r="A27" s="16" t="inlineStr">
        <is>
          <t>5.5.17(b), B5.5.44</t>
        </is>
      </c>
      <c r="B27" s="17" t="inlineStr">
        <is>
          <t>Time value of money</t>
        </is>
      </c>
      <c r="C27" s="16">
        <f>Audit!D18</f>
        <v/>
      </c>
      <c r="D27" s="17" t="inlineStr">
        <is>
          <t>Audit row 18</t>
        </is>
      </c>
    </row>
    <row r="28">
      <c r="A28" s="15" t="inlineStr">
        <is>
          <t>5.5 WRITE-OFF AND PRESENTATION</t>
        </is>
      </c>
    </row>
    <row r="29">
      <c r="A29" s="16" t="inlineStr">
        <is>
          <t>5.4.4, B5.4.9</t>
        </is>
      </c>
      <c r="B29" s="17" t="inlineStr">
        <is>
          <t>Write-off</t>
        </is>
      </c>
      <c r="C29" s="16">
        <f>Audit!D20</f>
        <v/>
      </c>
      <c r="D29" s="17" t="inlineStr">
        <is>
          <t>Audit row 20</t>
        </is>
      </c>
    </row>
    <row r="30">
      <c r="A30" s="15" t="inlineStr">
        <is>
          <t>THE MEGA FARM PROGRAMME</t>
        </is>
      </c>
    </row>
    <row r="31">
      <c r="A31" s="16" t="inlineStr">
        <is>
          <t>16</t>
        </is>
      </c>
      <c r="B31" s="17" t="inlineStr">
        <is>
          <t>The Mega Farm loans in the allowance</t>
        </is>
      </c>
      <c r="C31" s="16">
        <f>Audit!D22</f>
        <v/>
      </c>
      <c r="D31" s="17" t="inlineStr">
        <is>
          <t>Audit row 22</t>
        </is>
      </c>
    </row>
    <row r="33">
      <c r="A33" s="18" t="inlineStr">
        <is>
          <t>Findings that need a decision or a fix: see the 'Findings' sheet</t>
        </is>
      </c>
    </row>
    <row r="34">
      <c r="A34" s="18" t="inlineStr">
        <is>
          <t>The acceptance ties read from the system: see the 'Baselines' sheet</t>
        </is>
      </c>
    </row>
    <row r="35">
      <c r="A35" s="19" t="inlineStr">
        <is>
          <t>Source: IFRS 9 Financial Instruments as issued by the IASB, section 5.5 and B5.5.1 to B5.5.55. The Reserve Bank of Malawi Financial Services (Credit Risk Management for Development Finance Institutions) Directive 2018 (docs/regulatory). Specification: docs/MAIIC_EIR_Engine_Specification_v4_2026-10-07.md sections 3.6, 13, 14, 15, 16.</t>
        </is>
      </c>
    </row>
  </sheetData>
  <mergeCells count="4">
    <mergeCell ref="A28:D28"/>
    <mergeCell ref="A30:D30"/>
    <mergeCell ref="A20:D20"/>
    <mergeCell ref="A14:D14"/>
  </mergeCells>
  <conditionalFormatting sqref="C14:C32">
    <cfRule type="expression" priority="1" dxfId="0">
      <formula>$C14="Done"</formula>
    </cfRule>
    <cfRule type="expression" priority="2" dxfId="1">
      <formula>$C14="Partially done"</formula>
    </cfRule>
    <cfRule type="expression" priority="3" dxfId="2">
      <formula>$C14="Outstanding"</formula>
    </cfRule>
    <cfRule type="expression" priority="4" dxfId="3">
      <formula>$C14="Not applicable, documented"</formula>
    </cfRule>
    <cfRule type="expression" priority="5" dxfId="4">
      <formula>$C14="Evidence needed from MAIIC"</formula>
    </cfRule>
  </conditionalFormatting>
  <hyperlinks>
    <hyperlink ref="B15" location="'Audit'!A6" display="A loss allowance for expected credit losses"/>
    <hyperlink ref="D15" location="'Audit'!A6" display="Audit row 6"/>
    <hyperlink ref="B16" location="'Audit'!A7" display="Lifetime ECL on a significant increase in credit risk"/>
    <hyperlink ref="D16" location="'Audit'!A7" display="Audit row 7"/>
    <hyperlink ref="B17" location="'Audit'!A8" display="12-month ECL where credit risk has not increased significantly"/>
    <hyperlink ref="D17" location="'Audit'!A8" display="Audit row 8"/>
    <hyperlink ref="B18" location="'Audit'!A9" display="Determining a significant increase in credit risk; the 30-days-past-due rebuttable presumption"/>
    <hyperlink ref="D18" location="'Audit'!A9" display="Audit row 9"/>
    <hyperlink ref="B19" location="'Audit'!A10" display="Definition of default; the 90-days-past-due rebuttable presumption"/>
    <hyperlink ref="D19" location="'Audit'!A10" display="Audit row 10"/>
    <hyperlink ref="B21" location="'Audit'!A12" display="Measurement of expected credit losses"/>
    <hyperlink ref="D21" location="'Audit'!A12" display="Audit row 12"/>
    <hyperlink ref="B22" location="'Audit'!A13" display="Probability-weighted outcomes"/>
    <hyperlink ref="D22" location="'Audit'!A13" display="Audit row 13"/>
    <hyperlink ref="B23" location="'Audit'!A14" display="Reasonable and supportable information; forward-looking information"/>
    <hyperlink ref="D23" location="'Audit'!A14" display="Audit row 14"/>
    <hyperlink ref="B24" location="'Audit'!A15" display="How forward-looking information reaches the PD"/>
    <hyperlink ref="D24" location="'Audit'!A15" display="Audit row 15"/>
    <hyperlink ref="B25" location="'Audit'!A16" display="Collective assessment and segmentation"/>
    <hyperlink ref="D25" location="'Audit'!A16" display="Audit row 16"/>
    <hyperlink ref="B26" location="'Audit'!A17" display="Loss given default and collateral"/>
    <hyperlink ref="D26" location="'Audit'!A17" display="Audit row 17"/>
    <hyperlink ref="B27" location="'Audit'!A18" display="Time value of money"/>
    <hyperlink ref="D27" location="'Audit'!A18" display="Audit row 18"/>
    <hyperlink ref="B29" location="'Audit'!A20" display="Write-off"/>
    <hyperlink ref="D29" location="'Audit'!A20" display="Audit row 20"/>
    <hyperlink ref="B31" location="'Audit'!A22" display="The Mega Farm loans in the allowance"/>
    <hyperlink ref="D31" location="'Audit'!A22" display="Audit row 22"/>
    <hyperlink ref="A33" location="'Findings'!A1" display="Findings that need a decision or a fix: see the 'Findings' sheet"/>
    <hyperlink ref="A34" location="'Baselines'!A1" display="The acceptance ties read from the system: see the 'Baselines' sheet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0B2B1A"/>
    <outlinePr summaryBelow="1" summaryRight="1"/>
    <pageSetUpPr fitToPage="1"/>
  </sheetPr>
  <dimension ref="A1:K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56" customWidth="1" min="3" max="3"/>
    <col width="22" customWidth="1" min="4" max="4"/>
    <col width="58" customWidth="1" min="5" max="5"/>
    <col width="36" customWidth="1" min="6" max="6"/>
    <col width="42" customWidth="1" min="7" max="7"/>
    <col width="46" customWidth="1" min="8" max="8"/>
    <col width="20" customWidth="1" min="9" max="9"/>
    <col width="30" customWidth="1" min="10" max="10"/>
    <col width="44" customWidth="1" min="11" max="11"/>
  </cols>
  <sheetData>
    <row r="1">
      <c r="A1" s="20" t="inlineStr">
        <is>
          <t>IFRS 9 Financial Instruments - impairment (5.5 and B5.5): staging, significant increase in credit risk, 12-month and lifetime expected credit losses, forward-looking information, write-off - compliance audit</t>
        </is>
      </c>
    </row>
    <row r="2" ht="30" customHeight="1">
      <c r="A2" s="21" t="inlineStr">
        <is>
          <t>Malawi Agricultural and Industrial Investment Company (MAIIC) - IFRS 9 EIR and ECL system - build of 8 October 2026 against specification v4. Prepared 8 October 2026 from the build of specification v4: the staged loan books of July 2024 to August 2026 on the clean install, the Governance Centre's staging and forward-looking settings, the forward-looking chain (fli:correlate), the scenario set of 15.8, and the PHPUnit suite. The PD engine (transition matrices) has not run on the clean install, so the ECL figures there are nil; the rows below audit the mechanics and the settings. Reviewer: Dr Thomson Kumwenda (CFO), then Deloitte. Status definitions: see 'Contents'.</t>
        </is>
      </c>
    </row>
    <row r="3">
      <c r="A3" s="18" t="inlineStr">
        <is>
          <t>Back to Contents</t>
        </is>
      </c>
    </row>
    <row r="4" ht="34" customHeight="1">
      <c r="A4" s="14" t="inlineStr">
        <is>
          <t>Reference</t>
        </is>
      </c>
      <c r="B4" s="14" t="inlineStr">
        <is>
          <t>Section name</t>
        </is>
      </c>
      <c r="C4" s="14" t="inlineStr">
        <is>
          <t>What it requires</t>
        </is>
      </c>
      <c r="D4" s="14" t="inlineStr">
        <is>
          <t>Status</t>
        </is>
      </c>
      <c r="E4" s="14" t="inlineStr">
        <is>
          <t>What the engine does (evidence checked)</t>
        </is>
      </c>
      <c r="F4" s="14" t="inlineStr">
        <is>
          <t>General comment</t>
        </is>
      </c>
      <c r="G4" s="14" t="inlineStr">
        <is>
          <t>Compliance comment</t>
        </is>
      </c>
      <c r="H4" s="14" t="inlineStr">
        <is>
          <t>Where to see it (screen; report or export)</t>
        </is>
      </c>
      <c r="I4" s="14" t="inlineStr">
        <is>
          <t>Reviewer sign-off (initials / date)</t>
        </is>
      </c>
      <c r="J4" s="14" t="inlineStr">
        <is>
          <t>Governance setting</t>
        </is>
      </c>
      <c r="K4" s="14" t="inlineStr">
        <is>
          <t>Test that proves it</t>
        </is>
      </c>
    </row>
    <row r="5">
      <c r="A5" s="15" t="inlineStr">
        <is>
          <t>5.5 RECOGNITION OF EXPECTED CREDIT LOSSES</t>
        </is>
      </c>
    </row>
    <row r="6">
      <c r="A6" s="22" t="inlineStr">
        <is>
          <t>5.5.1</t>
        </is>
      </c>
      <c r="B6" s="22" t="inlineStr">
        <is>
          <t>A loss allowance for expected credit losses</t>
        </is>
      </c>
      <c r="C6" s="22" t="inlineStr">
        <is>
          <t>Recognise a loss allowance for expected credit losses on a financial asset measured at amortised cost.</t>
        </is>
      </c>
      <c r="D6" s="23" t="inlineStr">
        <is>
          <t>Done</t>
        </is>
      </c>
      <c r="E6" s="22" t="inlineStr">
        <is>
          <t>TimePhasedEclService computes the allowance per loan as EAD x PD x LGD, discounted at the EIR, for the period; ifrs9:recalculate-ecl runs it per portfolio; the bootstrap runs it for the last period.</t>
        </is>
      </c>
      <c r="F6" s="22" t="inlineStr"/>
      <c r="G6" s="22" t="inlineStr">
        <is>
          <t>Compliant in mechanics; the PD engine must run for a figure.</t>
        </is>
      </c>
      <c r="H6" s="22" t="inlineStr">
        <is>
          <t>Financial Modelling, ECL Calculation: /expected-credit-loss</t>
        </is>
      </c>
      <c r="I6" s="22" t="inlineStr"/>
      <c r="J6" s="22" t="inlineStr"/>
      <c r="K6" s="22" t="inlineStr">
        <is>
          <t>Tests\Feature\Ecl\TimePhasedEclServiceTest; Tests\Feature\Ecl\EclDiscountRateServiceTest</t>
        </is>
      </c>
    </row>
    <row r="7">
      <c r="A7" s="22" t="inlineStr">
        <is>
          <t>5.5.3</t>
        </is>
      </c>
      <c r="B7" s="22" t="inlineStr">
        <is>
          <t>Lifetime ECL on a significant increase in credit risk</t>
        </is>
      </c>
      <c r="C7" s="22" t="inlineStr">
        <is>
          <t>At each reporting date, measure the loss allowance at lifetime ECL if the credit risk has increased significantly since initial recognition.</t>
        </is>
      </c>
      <c r="D7" s="23" t="inlineStr">
        <is>
          <t>Done</t>
        </is>
      </c>
      <c r="E7" s="22" t="inlineStr">
        <is>
          <t>StagingService stages every period: Stage 2 from 31 days past due in every class (the directive), the SICR flag from the qualitative groups, and the ECL takes the lifetime window for Stage 2.</t>
        </is>
      </c>
      <c r="F7" s="22" t="inlineStr">
        <is>
          <t>Spec v4 section 3.6, decision D31.</t>
        </is>
      </c>
      <c r="G7" s="22" t="inlineStr">
        <is>
          <t>Compliant.</t>
        </is>
      </c>
      <c r="H7" s="22" t="inlineStr">
        <is>
          <t>Governance Centre, Staging &amp; SICR Rules: /stageing-rules; Data Foundation, Loan Book</t>
        </is>
      </c>
      <c r="I7" s="22" t="inlineStr"/>
      <c r="J7" s="22" t="inlineStr">
        <is>
          <t>dpd_basis</t>
        </is>
      </c>
      <c r="K7" s="22" t="inlineStr">
        <is>
          <t>Tests\Feature\Eir\StagingServiceTest</t>
        </is>
      </c>
    </row>
    <row r="8">
      <c r="A8" s="22" t="inlineStr">
        <is>
          <t>5.5.5</t>
        </is>
      </c>
      <c r="B8" s="22" t="inlineStr">
        <is>
          <t>12-month ECL where credit risk has not increased significantly</t>
        </is>
      </c>
      <c r="C8" s="22" t="inlineStr">
        <is>
          <t>Measure the loss allowance at an amount equal to 12-month ECL where the credit risk has not increased significantly since initial recognition.</t>
        </is>
      </c>
      <c r="D8" s="23" t="inlineStr">
        <is>
          <t>Done</t>
        </is>
      </c>
      <c r="E8" s="22" t="inlineStr">
        <is>
          <t>Stage 1 loans take the 12-month PD window in the ECL service; the staging writes the stage every period.</t>
        </is>
      </c>
      <c r="F8" s="22" t="inlineStr"/>
      <c r="G8" s="22" t="inlineStr">
        <is>
          <t>Compliant.</t>
        </is>
      </c>
      <c r="H8" s="22" t="inlineStr">
        <is>
          <t>Financial Modelling, ECL Calculation: /expected-credit-loss</t>
        </is>
      </c>
      <c r="I8" s="22" t="inlineStr"/>
      <c r="J8" s="22" t="inlineStr"/>
      <c r="K8" s="22" t="inlineStr">
        <is>
          <t>Tests\Feature\Ecl\TimePhasedEclServiceTest</t>
        </is>
      </c>
    </row>
    <row r="9">
      <c r="A9" s="22" t="inlineStr">
        <is>
          <t>5.5.9 to 5.5.11</t>
        </is>
      </c>
      <c r="B9" s="22" t="inlineStr">
        <is>
          <t>Determining a significant increase in credit risk; the 30-days-past-due rebuttable presumption</t>
        </is>
      </c>
      <c r="C9" s="22" t="inlineStr">
        <is>
          <t>Assess the change in the risk of default since initial recognition using reasonable and supportable information; there is a rebuttable presumption that credit risk has increased significantly when payments are more than 30 days past due.</t>
        </is>
      </c>
      <c r="D9" s="23" t="inlineStr">
        <is>
          <t>Done</t>
        </is>
      </c>
      <c r="E9" s="22" t="inlineStr">
        <is>
          <t>Stage 2 from 31 days past due in every facility class; days counted from the oldest overdue instalment as the directive counts, with the bucket ageing beside it; a rebuttal of the presumption is a governed setting (staging_rebuttal) whose seeded value cites the directive; the LONG_TERM rule proposing 91 days is seeded future-dated and inactive pending CFO sign-off.</t>
        </is>
      </c>
      <c r="F9" s="22" t="inlineStr">
        <is>
          <t>The O13 rebuttal paper of 8 October.</t>
        </is>
      </c>
      <c r="G9" s="22" t="inlineStr">
        <is>
          <t>Compliant; the presumption is applied, the rebuttal is governed.</t>
        </is>
      </c>
      <c r="H9" s="22" t="inlineStr">
        <is>
          <t>Governance Centre, Staging &amp; SICR Rules: /stageing-rules; Data Foundation, Loan Book; Governance Centre: /eir-governance</t>
        </is>
      </c>
      <c r="I9" s="22" t="inlineStr"/>
      <c r="J9" s="22" t="inlineStr">
        <is>
          <t>staging_rebuttal; dpd_basis</t>
        </is>
      </c>
      <c r="K9" s="22" t="inlineStr">
        <is>
          <t>Tests\Feature\Eir\StagingThresholdSeederTest; Tests\Feature\Eir\StagingServiceTest</t>
        </is>
      </c>
    </row>
    <row r="10">
      <c r="A10" s="22" t="inlineStr">
        <is>
          <t>B5.5.37</t>
        </is>
      </c>
      <c r="B10" s="22" t="inlineStr">
        <is>
          <t>Definition of default; the 90-days-past-due rebuttable presumption</t>
        </is>
      </c>
      <c r="C10" s="22" t="inlineStr">
        <is>
          <t>Apply a definition of default consistent with the one used for internal credit risk management; there is a rebuttable presumption that default occurs no later than 90 days past due unless reasonable and supportable information supports a more lagging criterion.</t>
        </is>
      </c>
      <c r="D10" s="23" t="inlineStr">
        <is>
          <t>Done</t>
        </is>
      </c>
      <c r="E10" s="22" t="inlineStr">
        <is>
          <t>Stage 3 from 91 days for a facility of 12 months or less and for the Mega Farm class, and from 181 days for a medium- or long-term facility, as the RBM directive classifies them; the accounting policy's four-consecutive-missed-instalments trigger lifts a loan to Stage 3 beside the day count. The more lagging criterion rests on the directive, cited on each threshold row.</t>
        </is>
      </c>
      <c r="F10" s="22" t="inlineStr">
        <is>
          <t>Spec v4 section 3.6 compares the policy (90 days), the November 2025 model (181) and the directive (181/91).</t>
        </is>
      </c>
      <c r="G10" s="22" t="inlineStr">
        <is>
          <t>Compliant; the rebuttal is documented on the threshold rows.</t>
        </is>
      </c>
      <c r="H10" s="22" t="inlineStr">
        <is>
          <t>Governance Centre, Staging &amp; SICR Rules: /stageing-rules; Data Foundation, Loan Book</t>
        </is>
      </c>
      <c r="I10" s="22" t="inlineStr"/>
      <c r="J10" s="22" t="inlineStr">
        <is>
          <t>dpd_basis; stage3_missed_instalments; staging_rebuttal</t>
        </is>
      </c>
      <c r="K10" s="22" t="inlineStr">
        <is>
          <t>Tests\Feature\Eir\StagingServiceTest::test_the_directive_thresholds_by_tenor_class_and_the_bucket_fallback</t>
        </is>
      </c>
    </row>
    <row r="11">
      <c r="A11" s="15" t="inlineStr">
        <is>
          <t>5.5 MEASUREMENT</t>
        </is>
      </c>
    </row>
    <row r="12">
      <c r="A12" s="22" t="inlineStr">
        <is>
          <t>5.5.17</t>
        </is>
      </c>
      <c r="B12" s="22" t="inlineStr">
        <is>
          <t>Measurement of expected credit losses</t>
        </is>
      </c>
      <c r="C12" s="22" t="inlineStr">
        <is>
          <t>ECL is an unbiased, probability-weighted amount determined by evaluating a range of possible outcomes, the time value of money, and reasonable and supportable information about past events, current conditions and forecasts of future economic conditions.</t>
        </is>
      </c>
      <c r="D12" s="23" t="inlineStr">
        <is>
          <t>Partially done</t>
        </is>
      </c>
      <c r="E12" s="22" t="inlineStr">
        <is>
          <t>Probability weighting across scenarios is built as the governed weighting method (the ECL under each scenario, weighted; sensitivity stored with the set); discounting is at the EIR; the forward-looking chain produces fits from the macro series. The PD engine has not run on the clean install and no fit is approved by a MAIIC reviewer, so the weighted ECL is not yet produced for a period.</t>
        </is>
      </c>
      <c r="F12" s="22" t="inlineStr">
        <is>
          <t>Spec v4 sections 14, 15.</t>
        </is>
      </c>
      <c r="G12" s="22" t="inlineStr">
        <is>
          <t>Partially done: the mechanics are in place; the PD run and an approved fit are awaited.</t>
        </is>
      </c>
      <c r="H12" s="22" t="inlineStr">
        <is>
          <t>Financial Modelling, ECL Calculation: /expected-credit-loss; Governance Centre, Scenario Sets: /scenario-sets</t>
        </is>
      </c>
      <c r="I12" s="22" t="inlineStr"/>
      <c r="J12" s="22" t="inlineStr">
        <is>
          <t>scenario_weighting_method; fli_adjustment_route</t>
        </is>
      </c>
      <c r="K12" s="22" t="inlineStr">
        <is>
          <t>Tests\Feature\Scenario\ScenarioSetServiceTest; Tests\Feature\Ecl\EclDiscountRateServiceTest</t>
        </is>
      </c>
    </row>
    <row r="13">
      <c r="A13" s="22" t="inlineStr">
        <is>
          <t>B5.5.41 to B5.5.43</t>
        </is>
      </c>
      <c r="B13" s="22" t="inlineStr">
        <is>
          <t>Probability-weighted outcomes</t>
        </is>
      </c>
      <c r="C13" s="22" t="inlineStr">
        <is>
          <t>The estimate reflects the possibility that a credit loss occurs and the possibility that none occurs; a range of scenarios, at least two, weighted by their probabilities.</t>
        </is>
      </c>
      <c r="D13" s="23" t="inlineStr">
        <is>
          <t>Done</t>
        </is>
      </c>
      <c r="E13" s="22" t="inlineStr">
        <is>
          <t>The governed scenario set: three or more scenarios, weights summing to 100, the base at least 40 percent and no single weight above 60, every scenario but the base a shock on the base path; the first set (Base 50, Upside 15, Downside 25, Severe 10) is seeded as a proposal for the CFO, each anchored to a year Malawi has lived through.</t>
        </is>
      </c>
      <c r="F13" s="22" t="inlineStr">
        <is>
          <t>Spec v4 section 15.</t>
        </is>
      </c>
      <c r="G13" s="22" t="inlineStr">
        <is>
          <t>Compliant.</t>
        </is>
      </c>
      <c r="H13" s="22" t="inlineStr">
        <is>
          <t>Governance Centre, Scenario Sets: /scenario-sets</t>
        </is>
      </c>
      <c r="I13" s="22" t="inlineStr"/>
      <c r="J13" s="22" t="inlineStr">
        <is>
          <t>scenario_minimum_count; scenario_weight_bounds; scenario_calibration_note</t>
        </is>
      </c>
      <c r="K13" s="22" t="inlineStr">
        <is>
          <t>Tests\Feature\Scenario\ScenarioSetServiceTest</t>
        </is>
      </c>
    </row>
    <row r="14">
      <c r="A14" s="22" t="inlineStr">
        <is>
          <t>B5.5.49 to B5.5.54</t>
        </is>
      </c>
      <c r="B14" s="22" t="inlineStr">
        <is>
          <t>Reasonable and supportable information; forward-looking information</t>
        </is>
      </c>
      <c r="C14" s="22" t="inlineStr">
        <is>
          <t>Use information that is reasonably available without undue cost or effort, including forecasts of future economic conditions; where a statistical relationship is used it must be supportable.</t>
        </is>
      </c>
      <c r="D14" s="23" t="inlineStr">
        <is>
          <t>Done</t>
        </is>
      </c>
      <c r="E14" s="22" t="inlineStr">
        <is>
          <t>Eleven Malawi macro series from the World Bank with their provenance (source, address, fetched-at, who) and a committed snapshot; the forward-looking chain sweeps every driver against every credit-loss proxy over the lag grid under the guardrail (expected sign, R2 cutoff, p-value, minimum observations) and declines a fit that fails with the reason; the structural-events register (the 2023 devaluation, COVID, the policy-rate cycle, the E-Banker take-on) is read by the diagnostics.</t>
        </is>
      </c>
      <c r="F14" s="22" t="inlineStr">
        <is>
          <t>On the clean install: 209 fits, 39 applied by the guardrail, 170 declined.</t>
        </is>
      </c>
      <c r="G14" s="22" t="inlineStr">
        <is>
          <t>Compliant; an applied fit is a proposal under maker-checker.</t>
        </is>
      </c>
      <c r="H14" s="22" t="inlineStr">
        <is>
          <t>Financial Modelling, Forward-Looking Model: /regression; fli:correlate; fli:method-cards; Data Foundation, Macro Statistics</t>
        </is>
      </c>
      <c r="I14" s="22" t="inlineStr"/>
      <c r="J14" s="22" t="inlineStr">
        <is>
          <t>fli_expected_sign_test; fli_r2_cutoff; fli_min_observations; fli_alpha; macro_source_precedence</t>
        </is>
      </c>
      <c r="K14" s="22" t="inlineStr">
        <is>
          <t>Tests\Feature\FLI\FliBridgeServiceTest</t>
        </is>
      </c>
    </row>
    <row r="15">
      <c r="A15" s="22" t="inlineStr">
        <is>
          <t>B5.5.52 (transmission)</t>
        </is>
      </c>
      <c r="B15" s="22" t="inlineStr">
        <is>
          <t>How forward-looking information reaches the PD</t>
        </is>
      </c>
      <c r="C15" s="22" t="inlineStr">
        <is>
          <t>The method of adjusting the PD for the forecast must be documented and supportable.</t>
        </is>
      </c>
      <c r="D15" s="23" t="inlineStr">
        <is>
          <t>Done</t>
        </is>
      </c>
      <c r="E15" s="22" t="inlineStr">
        <is>
          <t>Five governed transmission methods, each with a card: what it does, the formula, what it implies, its preconditions checked live against the data with the deciding figure, and a worked example on one loan; a method whose preconditions are not met cannot be selected; the scalar is seeded because the history cannot yet support the richer methods.</t>
        </is>
      </c>
      <c r="F15" s="22" t="inlineStr">
        <is>
          <t>Spec v4 section 14.7.</t>
        </is>
      </c>
      <c r="G15" s="22" t="inlineStr">
        <is>
          <t>Compliant.</t>
        </is>
      </c>
      <c r="H15" s="22" t="inlineStr">
        <is>
          <t>Financial Modelling, Forward-Looking Model: /regression; fli:correlate; fli:method-cards; Governance Centre, the cards inline on the setting: /eir-governance; fli:method-cards</t>
        </is>
      </c>
      <c r="I15" s="22" t="inlineStr"/>
      <c r="J15" s="22" t="inlineStr">
        <is>
          <t>fli_transmission_method; fli_asset_correlation</t>
        </is>
      </c>
      <c r="K15" s="22" t="inlineStr">
        <is>
          <t>Tests\Feature\FLI\TransmissionMethodCatalogueTest</t>
        </is>
      </c>
    </row>
    <row r="16">
      <c r="A16" s="22" t="inlineStr">
        <is>
          <t>B5.5.28 to B5.5.30</t>
        </is>
      </c>
      <c r="B16" s="22" t="inlineStr">
        <is>
          <t>Collective assessment and segmentation</t>
        </is>
      </c>
      <c r="C16" s="22" t="inlineStr">
        <is>
          <t>Where information is not available at the instrument level, assess on a collective basis grouped by shared credit-risk characteristics.</t>
        </is>
      </c>
      <c r="D16" s="23" t="inlineStr">
        <is>
          <t>Partially done</t>
        </is>
      </c>
      <c r="E16" s="22" t="inlineStr">
        <is>
          <t>Credit-loss proxies are produced for the book and per product group (NPL ratio, Stage 3 share, 12-month default rate), and the segment-specific scalar is a governed method; the PD transition matrices by grade run from their screen and are not yet in the bootstrap chain.</t>
        </is>
      </c>
      <c r="F16" s="22" t="inlineStr"/>
      <c r="G16" s="22" t="inlineStr">
        <is>
          <t>Partially done.</t>
        </is>
      </c>
      <c r="H16" s="22" t="inlineStr">
        <is>
          <t>Financial Modelling, Forward-Looking Model: /regression; fli:correlate; fli:method-cards; Financial Modelling, PD Model</t>
        </is>
      </c>
      <c r="I16" s="22" t="inlineStr"/>
      <c r="J16" s="22" t="inlineStr">
        <is>
          <t>fli_transmission_method</t>
        </is>
      </c>
      <c r="K16" s="22" t="inlineStr">
        <is>
          <t>Tests\Feature\FLI\FliBridgeServiceTest</t>
        </is>
      </c>
    </row>
    <row r="17">
      <c r="A17" s="22" t="inlineStr">
        <is>
          <t>B5.5.33 to B5.5.35</t>
        </is>
      </c>
      <c r="B17" s="22" t="inlineStr">
        <is>
          <t>Loss given default and collateral</t>
        </is>
      </c>
      <c r="C17" s="22" t="inlineStr">
        <is>
          <t>The cash shortfalls reflect the cash flows expected from collateral and other credit enhancements that are part of the contractual terms.</t>
        </is>
      </c>
      <c r="D17" s="23" t="inlineStr">
        <is>
          <t>Evidence needed from MAIIC</t>
        </is>
      </c>
      <c r="E17" s="22" t="inlineStr">
        <is>
          <t>LGD runs from the LGD screens (monthly and cumulative); the security register (P2_11, 185 rows) is landed and 31 active accounts carry no security on it (the request to Credit of 7 October).</t>
        </is>
      </c>
      <c r="F17" s="22" t="inlineStr"/>
      <c r="G17" s="22" t="inlineStr">
        <is>
          <t>Evidence needed: the collateral for the 31 accounts; the valuations.</t>
        </is>
      </c>
      <c r="H17" s="22" t="inlineStr">
        <is>
          <t>Financial Modelling, LGD Model; Data Foundation, Collateral Register</t>
        </is>
      </c>
      <c r="I17" s="22" t="inlineStr"/>
      <c r="J17" s="22" t="inlineStr"/>
      <c r="K17" s="22" t="inlineStr"/>
    </row>
    <row r="18">
      <c r="A18" s="22" t="inlineStr">
        <is>
          <t>5.5.17(b), B5.5.44</t>
        </is>
      </c>
      <c r="B18" s="22" t="inlineStr">
        <is>
          <t>Time value of money</t>
        </is>
      </c>
      <c r="C18" s="22" t="inlineStr">
        <is>
          <t>Discount the expected credit losses at the EIR determined at initial recognition.</t>
        </is>
      </c>
      <c r="D18" s="23" t="inlineStr">
        <is>
          <t>Done</t>
        </is>
      </c>
      <c r="E18" s="22" t="inlineStr">
        <is>
          <t>EclDiscountRateService takes the locked EIR of the loan (the contractual rate where none is locked, and says so on the row); the bootstrap solves and locks the EIR before the ECL for this reason.</t>
        </is>
      </c>
      <c r="F18" s="22" t="inlineStr"/>
      <c r="G18" s="22" t="inlineStr">
        <is>
          <t>Compliant.</t>
        </is>
      </c>
      <c r="H18" s="22" t="inlineStr">
        <is>
          <t>Financial Modelling, ECL Calculation: /expected-credit-loss</t>
        </is>
      </c>
      <c r="I18" s="22" t="inlineStr"/>
      <c r="J18" s="22" t="inlineStr"/>
      <c r="K18" s="22" t="inlineStr">
        <is>
          <t>Tests\Feature\Ecl\EclDiscountRateServiceTest</t>
        </is>
      </c>
    </row>
    <row r="19">
      <c r="A19" s="15" t="inlineStr">
        <is>
          <t>5.5 WRITE-OFF AND PRESENTATION</t>
        </is>
      </c>
    </row>
    <row r="20">
      <c r="A20" s="22" t="inlineStr">
        <is>
          <t>5.4.4, B5.4.9</t>
        </is>
      </c>
      <c r="B20" s="22" t="inlineStr">
        <is>
          <t>Write-off</t>
        </is>
      </c>
      <c r="C20" s="22" t="inlineStr">
        <is>
          <t>Write off the gross carrying amount when there is no reasonable expectation of recovery.</t>
        </is>
      </c>
      <c r="D20" s="23" t="inlineStr">
        <is>
          <t>Evidence needed from MAIIC</t>
        </is>
      </c>
      <c r="E20" s="22" t="inlineStr">
        <is>
          <t>No write-off has been posted in E-Banker since the take-on (DD_16i returned no rows); the policy is MAIIC's to state.</t>
        </is>
      </c>
      <c r="F20" s="22" t="inlineStr"/>
      <c r="G20" s="22" t="inlineStr">
        <is>
          <t>Evidence needed: the write-off policy.</t>
        </is>
      </c>
      <c r="H20" s="22" t="inlineStr">
        <is>
          <t>Financial Modelling, ECL Calculation: /expected-credit-loss</t>
        </is>
      </c>
      <c r="I20" s="22" t="inlineStr"/>
      <c r="J20" s="22" t="inlineStr"/>
      <c r="K20" s="22" t="inlineStr"/>
    </row>
    <row r="21">
      <c r="A21" s="15" t="inlineStr">
        <is>
          <t>THE MEGA FARM PROGRAMME</t>
        </is>
      </c>
    </row>
    <row r="22">
      <c r="A22" s="22" t="inlineStr">
        <is>
          <t>16</t>
        </is>
      </c>
      <c r="B22" s="22" t="inlineStr">
        <is>
          <t>The Mega Farm loans in the allowance</t>
        </is>
      </c>
      <c r="C22" s="22" t="inlineStr">
        <is>
          <t>Loans extended under the Government's Mega Farm programme (losses to the fund; MAIIC's 5 percent share) must be in the ECL on a documented basis.</t>
        </is>
      </c>
      <c r="D22" s="23" t="inlineStr">
        <is>
          <t>Evidence needed from MAIIC</t>
        </is>
      </c>
      <c r="E22" s="22" t="inlineStr">
        <is>
          <t>The system holds a November 2025 Mega Farm loan book of 3,490 loans across six GLs (K54.85 bn), found by the build, staged under the MEGA_FARM class (91 days); the programme's treatment (decision D30: out of the EIR engine, in the ECL module, 5 percent share on net) and the PD method (seeded: the agricultural-sector PD scaled to the programme) are governed settings awaiting the CFO's confirmation.</t>
        </is>
      </c>
      <c r="F22" s="22" t="inlineStr">
        <is>
          <t>Spec v4 section 16; the O22 paper of 8 October.</t>
        </is>
      </c>
      <c r="G22" s="22" t="inlineStr">
        <is>
          <t>Evidence needed: the CFO's confirmation of D30; how the K39.76 bn provision of 2025 was arrived at; the monthly Mega Farm books.</t>
        </is>
      </c>
      <c r="H22" s="22" t="inlineStr">
        <is>
          <t>Financial Modelling, Mega Farm Programme: /megafarm; Governance Centre: /eir-governance</t>
        </is>
      </c>
      <c r="I22" s="22" t="inlineStr"/>
      <c r="J22" s="22" t="inlineStr">
        <is>
          <t>mega_farms_scope; megafarm_pd_method; megafarm_scalar_ceiling</t>
        </is>
      </c>
      <c r="K22" s="22" t="inlineStr"/>
    </row>
  </sheetData>
  <autoFilter ref="A4:K22"/>
  <mergeCells count="5">
    <mergeCell ref="A21:K21"/>
    <mergeCell ref="A2:K2"/>
    <mergeCell ref="A11:K11"/>
    <mergeCell ref="A19:K19"/>
    <mergeCell ref="A5:K5"/>
  </mergeCells>
  <conditionalFormatting sqref="D5:D22">
    <cfRule type="expression" priority="1" dxfId="0">
      <formula>$D5="Done"</formula>
    </cfRule>
    <cfRule type="expression" priority="2" dxfId="1">
      <formula>$D5="Partially done"</formula>
    </cfRule>
    <cfRule type="expression" priority="3" dxfId="2">
      <formula>$D5="Outstanding"</formula>
    </cfRule>
    <cfRule type="expression" priority="4" dxfId="3">
      <formula>$D5="Not applicable, documented"</formula>
    </cfRule>
    <cfRule type="expression" priority="5" dxfId="4">
      <formula>$D5="Evidence needed from MAIIC"</formula>
    </cfRule>
  </conditionalFormatting>
  <conditionalFormatting sqref="K5:K22">
    <cfRule type="expression" priority="6" dxfId="2">
      <formula>AND($D5="Done",$K5="")</formula>
    </cfRule>
  </conditionalFormatting>
  <dataValidations count="1">
    <dataValidation sqref="D5:D22" showDropDown="0" showInputMessage="0" showErrorMessage="0" allowBlank="1" type="list">
      <formula1>"Done,Partially done,Outstanding,Not applicable, documented,Evidence needed from MAIIC"</formula1>
    </dataValidation>
  </dataValidations>
  <hyperlinks>
    <hyperlink ref="A3" location="'Contents'!A1" display="Back to Contents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H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30" customWidth="1" min="3" max="3"/>
    <col width="64" customWidth="1" min="4" max="4"/>
    <col width="40" customWidth="1" min="5" max="5"/>
    <col width="64" customWidth="1" min="6" max="6"/>
    <col width="26" customWidth="1" min="7" max="7"/>
    <col width="12" customWidth="1" min="8" max="8"/>
  </cols>
  <sheetData>
    <row r="1">
      <c r="A1" s="20" t="inlineStr">
        <is>
          <t>Findings - items that need a decision or a fix before this standard can be signed off</t>
        </is>
      </c>
    </row>
    <row r="2">
      <c r="A2" s="18" t="inlineStr">
        <is>
          <t>Back to Contents</t>
        </is>
      </c>
    </row>
    <row r="4">
      <c r="A4" s="14" t="inlineStr">
        <is>
          <t>No.</t>
        </is>
      </c>
      <c r="B4" s="14" t="inlineStr">
        <is>
          <t>Reference</t>
        </is>
      </c>
      <c r="C4" s="14" t="inlineStr">
        <is>
          <t>Finding</t>
        </is>
      </c>
      <c r="D4" s="14" t="inlineStr">
        <is>
          <t>What was found</t>
        </is>
      </c>
      <c r="E4" s="14" t="inlineStr">
        <is>
          <t>Impact</t>
        </is>
      </c>
      <c r="F4" s="14" t="inlineStr">
        <is>
          <t>Recommended action</t>
        </is>
      </c>
      <c r="G4" s="14" t="inlineStr">
        <is>
          <t>Owner</t>
        </is>
      </c>
      <c r="H4" s="14" t="inlineStr">
        <is>
          <t>Status</t>
        </is>
      </c>
    </row>
    <row r="5">
      <c r="A5" s="22" t="inlineStr">
        <is>
          <t>F1</t>
        </is>
      </c>
      <c r="B5" s="24" t="inlineStr">
        <is>
          <t>5.5.17</t>
        </is>
      </c>
      <c r="C5" s="22" t="inlineStr">
        <is>
          <t>The PD and LGD of the clean install are the bootstrap's, not MAIIC's</t>
        </is>
      </c>
      <c r="D5" s="22" t="inlineStr">
        <is>
          <t>PdEngineService and LgdEngineService run the transition matrix and the cohort workout under the bootstrap label; no MAIIC reviewer has key-locked a matrix or an LGD calculation in the system.</t>
        </is>
      </c>
      <c r="E5" s="22" t="inlineStr">
        <is>
          <t>The ECL of 8.33bn at August 2026 is a system figure awaiting review.</t>
        </is>
      </c>
      <c r="F5" s="22" t="inlineStr">
        <is>
          <t>A reviewer key-locks the matrix and the LGD on their screens; the ECL is then re-run under the approved scenario set.</t>
        </is>
      </c>
      <c r="G5" s="22" t="inlineStr">
        <is>
          <t>Dr Thom / the reviewer</t>
        </is>
      </c>
      <c r="H5" s="22" t="inlineStr">
        <is>
          <t>Open</t>
        </is>
      </c>
    </row>
    <row r="6">
      <c r="A6" s="22" t="inlineStr">
        <is>
          <t>F2</t>
        </is>
      </c>
      <c r="B6" s="22" t="inlineStr">
        <is>
          <t>B5.5.49</t>
        </is>
      </c>
      <c r="C6" s="22" t="inlineStr">
        <is>
          <t>No fit is approved by a MAIIC reviewer</t>
        </is>
      </c>
      <c r="D6" s="22" t="inlineStr">
        <is>
          <t>The chain applied 39 fits by the guardrail; approval of a fit for use in the FLI route is a maker-checker decision not yet taken.</t>
        </is>
      </c>
      <c r="E6" s="22" t="inlineStr">
        <is>
          <t>The forward-looking adjustment is the manual overlay at zero until then.</t>
        </is>
      </c>
      <c r="F6" s="22" t="inlineStr">
        <is>
          <t>A reviewer approves a fit on the FLI Adjustments screen; a second person reviews.</t>
        </is>
      </c>
      <c r="G6" s="22" t="inlineStr">
        <is>
          <t>Dr Thom / the reviewer</t>
        </is>
      </c>
      <c r="H6" s="22" t="inlineStr">
        <is>
          <t>Open</t>
        </is>
      </c>
    </row>
    <row r="7">
      <c r="A7" s="22" t="inlineStr">
        <is>
          <t>F3</t>
        </is>
      </c>
      <c r="B7" s="24" t="inlineStr">
        <is>
          <t>16</t>
        </is>
      </c>
      <c r="C7" s="22" t="inlineStr">
        <is>
          <t>The Mega Farm provision basis is undocumented in the system</t>
        </is>
      </c>
      <c r="D7" s="22" t="inlineStr">
        <is>
          <t>The 2025 statements carry K39.76 bn against K48.7 bn Stage 3; the November 2025 book in the system is mostly Stage 1 by days past due.</t>
        </is>
      </c>
      <c r="E7" s="22" t="inlineStr">
        <is>
          <t>The ECL golden number at 31 December 2025 cannot be set.</t>
        </is>
      </c>
      <c r="F7" s="22" t="inlineStr">
        <is>
          <t>The CFO confirms D30 and the provisioning method; the monthly Mega Farm books are loaded by the feed (MF_01 to MF_08).</t>
        </is>
      </c>
      <c r="G7" s="22" t="inlineStr">
        <is>
          <t>Dr Thom / Barry</t>
        </is>
      </c>
      <c r="H7" s="22" t="inlineStr">
        <is>
          <t>Open</t>
        </is>
      </c>
    </row>
  </sheetData>
  <dataValidations count="1">
    <dataValidation sqref="H5:H7" showDropDown="0" showInputMessage="0" showErrorMessage="0" allowBlank="1" type="list">
      <formula1>"Open,In progress,Closed,Deferred"</formula1>
    </dataValidation>
  </dataValidations>
  <hyperlinks>
    <hyperlink ref="A2" location="'Contents'!A1" display="Back to Contents"/>
    <hyperlink ref="B5" location="'Audit'!A12" display="5.5.17"/>
    <hyperlink ref="B7" location="'Audit'!A22" display="16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F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4" customWidth="1" min="1" max="1"/>
    <col width="22" customWidth="1" min="2" max="2"/>
    <col width="24" customWidth="1" min="3" max="3"/>
    <col width="12" customWidth="1" min="4" max="4"/>
    <col width="10" customWidth="1" min="5" max="5"/>
    <col width="50" customWidth="1" min="6" max="6"/>
  </cols>
  <sheetData>
    <row r="1">
      <c r="A1" s="20" t="inlineStr">
        <is>
          <t>Baselines - the acceptance ties of specification section 9, read from the system at generation</t>
        </is>
      </c>
    </row>
    <row r="2">
      <c r="A2" s="18" t="inlineStr">
        <is>
          <t>Back to Contents</t>
        </is>
      </c>
    </row>
    <row r="3">
      <c r="A3" s="2" t="inlineStr">
        <is>
          <t>Generated 2026-10-08 21:40:05 from maiic_ifrs9_bootstrap. The PASS/FAIL in column E is a formula on columns B and C, so it recomputes if a figure is typed over.</t>
        </is>
      </c>
    </row>
    <row r="4">
      <c r="A4" s="14" t="inlineStr">
        <is>
          <t>Tie</t>
        </is>
      </c>
      <c r="B4" s="14" t="inlineStr">
        <is>
          <t>Expected</t>
        </is>
      </c>
      <c r="C4" s="14" t="inlineStr">
        <is>
          <t>System figure at generation</t>
        </is>
      </c>
      <c r="D4" s="14" t="inlineStr">
        <is>
          <t>Tolerance</t>
        </is>
      </c>
      <c r="E4" s="14" t="inlineStr">
        <is>
          <t>Result</t>
        </is>
      </c>
      <c r="F4" s="14" t="inlineStr">
        <is>
          <t>Note</t>
        </is>
      </c>
    </row>
    <row r="5">
      <c r="A5" s="22" t="inlineStr">
        <is>
          <t>Interest posted Jan 2025 to Jul 2026 (ledger, types 303 and 120)</t>
        </is>
      </c>
      <c r="B5" s="25" t="n">
        <v>5293988207.06</v>
      </c>
      <c r="C5" s="25" t="n">
        <v>5293988207.06</v>
      </c>
      <c r="D5" s="22" t="n">
        <v>1</v>
      </c>
      <c r="E5" s="26">
        <f>IF(ABS(B5-C5)&lt;=D5,"PASS","FAIL")</f>
        <v/>
      </c>
      <c r="F5" s="22" t="inlineStr"/>
    </row>
    <row r="6">
      <c r="A6" s="22" t="inlineStr">
        <is>
          <t>Derived carrying amount against the stored report (over 2 cents)</t>
        </is>
      </c>
      <c r="B6" s="22" t="inlineStr">
        <is>
          <t>0 differences</t>
        </is>
      </c>
      <c r="C6" s="22" t="inlineStr">
        <is>
          <t>0 of 2361 account-months</t>
        </is>
      </c>
      <c r="D6" s="22" t="n">
        <v>0.01</v>
      </c>
      <c r="E6" s="26">
        <f>IF(B6=C6,"PASS","FAIL")</f>
        <v/>
      </c>
      <c r="F6" s="22" t="inlineStr"/>
    </row>
    <row r="7">
      <c r="A7" s="22" t="inlineStr">
        <is>
          <t>Year-end interest batch contra on 4215</t>
        </is>
      </c>
      <c r="B7" s="25" t="n">
        <v>32956675.55</v>
      </c>
      <c r="C7" s="25" t="n">
        <v>32956675.55</v>
      </c>
      <c r="D7" s="22" t="n">
        <v>1</v>
      </c>
      <c r="E7" s="26">
        <f>IF(ABS(B7-C7)&lt;=D7,"PASS","FAIL")</f>
        <v/>
      </c>
      <c r="F7" s="22" t="inlineStr"/>
    </row>
    <row r="8">
      <c r="A8" s="22" t="inlineStr">
        <is>
          <t>Year-end interest batch contra on 4216</t>
        </is>
      </c>
      <c r="B8" s="25" t="n">
        <v>-21733262.7</v>
      </c>
      <c r="C8" s="25" t="n">
        <v>-21733262.7</v>
      </c>
      <c r="D8" s="22" t="n">
        <v>0.01</v>
      </c>
      <c r="E8" s="26">
        <f>IF(ABS(B8-C8)&lt;=D8,"PASS","FAIL")</f>
        <v/>
      </c>
      <c r="F8" s="22" t="inlineStr"/>
    </row>
    <row r="9">
      <c r="A9" s="22" t="inlineStr">
        <is>
          <t>Loan book 1050101 at 31 Dec 2025 against the trial balance</t>
        </is>
      </c>
      <c r="B9" s="25" t="n">
        <v>1368737810.68</v>
      </c>
      <c r="C9" s="25" t="n">
        <v>1368737810.68</v>
      </c>
      <c r="D9" s="22" t="n">
        <v>1</v>
      </c>
      <c r="E9" s="26">
        <f>IF(ABS(B9-C9)&lt;=D9,"PASS","FAIL")</f>
        <v/>
      </c>
      <c r="F9" s="22" t="inlineStr"/>
    </row>
    <row r="10">
      <c r="A10" s="22" t="inlineStr">
        <is>
          <t>Loan book 1050102 at 31 Dec 2025 against the trial balance</t>
        </is>
      </c>
      <c r="B10" s="25" t="n">
        <v>6434045052.56</v>
      </c>
      <c r="C10" s="25" t="n">
        <v>6434045052.56</v>
      </c>
      <c r="D10" s="22" t="n">
        <v>1</v>
      </c>
      <c r="E10" s="26">
        <f>IF(ABS(B10-C10)&lt;=D10,"PASS","FAIL")</f>
        <v/>
      </c>
      <c r="F10" s="22" t="inlineStr"/>
    </row>
    <row r="11">
      <c r="A11" s="22" t="inlineStr">
        <is>
          <t>Loan book 1050201 at 31 Dec 2025 against the trial balance (accepted exception, spec 3.5: -400,000.00)</t>
        </is>
      </c>
      <c r="B11" s="25" t="n">
        <v>1402393139.46</v>
      </c>
      <c r="C11" s="25" t="n">
        <v>1401993139.46</v>
      </c>
      <c r="D11" s="22" t="n">
        <v>1</v>
      </c>
      <c r="E11" s="26">
        <f>IF(ABS(B11-C11)&lt;=D11,"PASS","FAIL")</f>
        <v/>
      </c>
      <c r="F11" s="22" t="inlineStr"/>
    </row>
    <row r="12">
      <c r="A12" s="22" t="inlineStr">
        <is>
          <t>Loan book 1050202 at 31 Dec 2025 against the trial balance (accepted exception, spec 3.5: 1,000,000.00)</t>
        </is>
      </c>
      <c r="B12" s="25" t="n">
        <v>3808288656.15</v>
      </c>
      <c r="C12" s="25" t="n">
        <v>3809288656.15</v>
      </c>
      <c r="D12" s="22" t="n">
        <v>1</v>
      </c>
      <c r="E12" s="26">
        <f>IF(ABS(B12-C12)&lt;=D12,"PASS","FAIL")</f>
        <v/>
      </c>
      <c r="F12" s="22" t="inlineStr"/>
    </row>
    <row r="13">
      <c r="A13" s="22" t="inlineStr">
        <is>
          <t>Loan book 1050401 at 31 Dec 2025 against the trial balance</t>
        </is>
      </c>
      <c r="B13" s="25" t="n">
        <v>1827148120.69</v>
      </c>
      <c r="C13" s="25" t="n">
        <v>1827148120.69</v>
      </c>
      <c r="D13" s="22" t="n">
        <v>1</v>
      </c>
      <c r="E13" s="26">
        <f>IF(ABS(B13-C13)&lt;=D13,"PASS","FAIL")</f>
        <v/>
      </c>
      <c r="F13" s="22" t="inlineStr"/>
    </row>
  </sheetData>
  <conditionalFormatting sqref="E5:E13">
    <cfRule type="expression" priority="1" dxfId="0">
      <formula>$E5="PASS"</formula>
    </cfRule>
    <cfRule type="expression" priority="2" dxfId="2">
      <formula>$E5="FAIL"</formula>
    </cfRule>
  </conditionalFormatting>
  <hyperlinks>
    <hyperlink ref="A2" location="'Contents'!A1" display="Back to Contents"/>
  </hyperlink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2026-10-08T19:40:05Z</dcterms:created>
  <dcterms:modified xmlns:dcterms="http://purl.org/dc/terms/" xmlns:xsi="http://www.w3.org/2001/XMLSchema-instance" xsi:type="dcterms:W3CDTF">2026-10-08T19:40:05Z</dcterms:modified>
</cp:coreProperties>
</file>