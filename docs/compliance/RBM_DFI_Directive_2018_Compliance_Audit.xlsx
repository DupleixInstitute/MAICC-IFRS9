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tents" sheetId="1" state="visible" r:id="rId1"/>
    <sheet xmlns:r="http://schemas.openxmlformats.org/officeDocument/2006/relationships" name="Audit" sheetId="2" state="visible" r:id="rId2"/>
    <sheet xmlns:r="http://schemas.openxmlformats.org/officeDocument/2006/relationships" name="Findings" sheetId="3" state="visible" r:id="rId3"/>
    <sheet xmlns:r="http://schemas.openxmlformats.org/officeDocument/2006/relationships" name="Baselines" sheetId="4" state="visible" r:id="rId4"/>
  </sheets>
  <definedNames>
    <definedName name="_xlnm._FilterDatabase" localSheetId="1" hidden="1">'Audit'!$A$4:$K$26</definedName>
    <definedName name="_xlnm.Print_Titles" localSheetId="1">'Audit'!$4:$4</definedName>
    <definedName name="_xlnm.Print_Titles" localSheetId="2">'Findings'!$4:$4</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0B2B1A"/>
      <sz val="13"/>
    </font>
    <font>
      <name val="Arial"/>
      <i val="1"/>
      <color rgb="00595959"/>
      <sz val="9"/>
    </font>
    <font>
      <name val="Arial"/>
      <color rgb="000563C1"/>
      <sz val="9"/>
      <u val="single"/>
    </font>
    <font>
      <name val="Arial"/>
      <b val="1"/>
      <color rgb="00FFFFFF"/>
      <sz val="10"/>
    </font>
    <font>
      <name val="Arial"/>
      <b val="1"/>
      <color rgb="000B2B1A"/>
      <sz val="10"/>
    </font>
    <font>
      <name val="Arial"/>
      <sz val="9"/>
    </font>
    <font>
      <name val="Arial"/>
      <b val="1"/>
      <sz val="9"/>
    </font>
    <font>
      <name val="Arial"/>
      <b val="1"/>
      <color rgb="000B2B1A"/>
      <sz val="14"/>
    </font>
    <font>
      <name val="Arial"/>
      <i val="1"/>
      <color rgb="00595959"/>
      <sz val="8"/>
    </font>
  </fonts>
  <fills count="9">
    <fill>
      <patternFill/>
    </fill>
    <fill>
      <patternFill patternType="gray125"/>
    </fill>
    <fill>
      <patternFill patternType="solid">
        <fgColor rgb="000B2B1A"/>
      </patternFill>
    </fill>
    <fill>
      <patternFill patternType="solid">
        <fgColor rgb="00FBF0E4"/>
      </patternFill>
    </fill>
    <fill>
      <patternFill patternType="solid">
        <fgColor rgb="00C6EFCE"/>
      </patternFill>
    </fill>
    <fill>
      <patternFill patternType="solid">
        <fgColor rgb="00FFEB9C"/>
      </patternFill>
    </fill>
    <fill>
      <patternFill patternType="solid">
        <fgColor rgb="00FFC7CE"/>
      </patternFill>
    </fill>
    <fill>
      <patternFill patternType="solid">
        <fgColor rgb="00D9D9D9"/>
      </patternFill>
    </fill>
    <fill>
      <patternFill patternType="solid">
        <fgColor rgb="00DDEB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7">
    <xf numFmtId="0" fontId="0" fillId="0" borderId="0" pivotButton="0" quotePrefix="0" xfId="0"/>
    <xf numFmtId="0" fontId="8" fillId="0" borderId="0" pivotButton="0" quotePrefix="0" xfId="0"/>
    <xf numFmtId="0" fontId="2" fillId="0" borderId="0" pivotButton="0" quotePrefix="0" xfId="0"/>
    <xf numFmtId="0" fontId="5" fillId="0" borderId="0" pivotButton="0" quotePrefix="0" xfId="0"/>
    <xf numFmtId="0" fontId="5" fillId="0" borderId="0" applyAlignment="1" pivotButton="0" quotePrefix="0" xfId="0">
      <alignment horizontal="center"/>
    </xf>
    <xf numFmtId="0" fontId="7" fillId="4" borderId="1" pivotButton="0" quotePrefix="0" xfId="0"/>
    <xf numFmtId="0" fontId="6" fillId="0" borderId="0" applyAlignment="1" pivotButton="0" quotePrefix="0" xfId="0">
      <alignment vertical="top" wrapText="1"/>
    </xf>
    <xf numFmtId="0" fontId="7" fillId="0" borderId="0" applyAlignment="1" pivotButton="0" quotePrefix="0" xfId="0">
      <alignment horizontal="center" vertical="top"/>
    </xf>
    <xf numFmtId="0" fontId="7" fillId="5" borderId="1" pivotButton="0" quotePrefix="0" xfId="0"/>
    <xf numFmtId="0" fontId="7" fillId="6" borderId="1" pivotButton="0" quotePrefix="0" xfId="0"/>
    <xf numFmtId="0" fontId="7" fillId="7" borderId="1" pivotButton="0" quotePrefix="0" xfId="0"/>
    <xf numFmtId="0" fontId="7" fillId="8" borderId="1" pivotButton="0" quotePrefix="0" xfId="0"/>
    <xf numFmtId="0" fontId="7" fillId="0" borderId="0" pivotButton="0" quotePrefix="0" xfId="0"/>
    <xf numFmtId="0" fontId="7" fillId="0" borderId="0" applyAlignment="1" pivotButton="0" quotePrefix="0" xfId="0">
      <alignment horizontal="center"/>
    </xf>
    <xf numFmtId="0" fontId="4" fillId="2" borderId="1" applyAlignment="1" pivotButton="0" quotePrefix="0" xfId="0">
      <alignment vertical="center" wrapText="1"/>
    </xf>
    <xf numFmtId="0" fontId="5" fillId="3" borderId="0" pivotButton="0" quotePrefix="0" xfId="0"/>
    <xf numFmtId="0" fontId="6" fillId="0" borderId="1" pivotButton="0" quotePrefix="0" xfId="0"/>
    <xf numFmtId="0" fontId="3" fillId="0" borderId="1" pivotButton="0" quotePrefix="0" xfId="0"/>
    <xf numFmtId="0" fontId="3" fillId="0" borderId="0" pivotButton="0" quotePrefix="0" xfId="0"/>
    <xf numFmtId="0" fontId="9" fillId="0" borderId="0" pivotButton="0" quotePrefix="0" xfId="0"/>
    <xf numFmtId="0" fontId="1" fillId="0" borderId="0" pivotButton="0" quotePrefix="0" xfId="0"/>
    <xf numFmtId="0" fontId="2" fillId="0" borderId="0" applyAlignment="1" pivotButton="0" quotePrefix="0" xfId="0">
      <alignment vertical="top" wrapText="1"/>
    </xf>
    <xf numFmtId="0" fontId="6" fillId="0" borderId="1" applyAlignment="1" pivotButton="0" quotePrefix="0" xfId="0">
      <alignment vertical="top" wrapText="1"/>
    </xf>
    <xf numFmtId="0" fontId="7" fillId="0" borderId="1" applyAlignment="1" pivotButton="0" quotePrefix="0" xfId="0">
      <alignment vertical="top" wrapText="1"/>
    </xf>
    <xf numFmtId="0" fontId="3" fillId="0" borderId="1" applyAlignment="1" pivotButton="0" quotePrefix="0" xfId="0">
      <alignment vertical="top" wrapText="1"/>
    </xf>
    <xf numFmtId="4" fontId="6" fillId="0" borderId="1" applyAlignment="1" pivotButton="0" quotePrefix="0" xfId="0">
      <alignment vertical="top" wrapText="1"/>
    </xf>
    <xf numFmtId="0" fontId="7" fillId="0" borderId="1" pivotButton="0" quotePrefix="0" xfId="0"/>
  </cellXfs>
  <cellStyles count="1">
    <cellStyle name="Normal" xfId="0" builtinId="0" hidden="0"/>
  </cellStyles>
  <dxfs count="5">
    <dxf>
      <fill>
        <patternFill patternType="solid">
          <fgColor rgb="00C6EFCE"/>
        </patternFill>
      </fill>
    </dxf>
    <dxf>
      <fill>
        <patternFill patternType="solid">
          <fgColor rgb="00FFEB9C"/>
        </patternFill>
      </fill>
    </dxf>
    <dxf>
      <fill>
        <patternFill patternType="solid">
          <fgColor rgb="00FFC7CE"/>
        </patternFill>
      </fill>
    </dxf>
    <dxf>
      <fill>
        <patternFill patternType="solid">
          <fgColor rgb="00D9D9D9"/>
        </patternFill>
      </fill>
    </dxf>
    <dxf>
      <fill>
        <patternFill patternType="solid">
          <fgColor rgb="00DDEBF7"/>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B8860B"/>
    <outlinePr summaryBelow="1" summaryRight="1"/>
    <pageSetUpPr fitToPage="1"/>
  </sheetPr>
  <dimension ref="A1:D39"/>
  <sheetViews>
    <sheetView showGridLines="0" workbookViewId="0">
      <pane ySplit="2" topLeftCell="A3" activePane="bottomLeft" state="frozen"/>
      <selection pane="bottomLeft" activeCell="A1" sqref="A1"/>
    </sheetView>
  </sheetViews>
  <sheetFormatPr baseColWidth="8" defaultRowHeight="15"/>
  <cols>
    <col width="30" customWidth="1" min="1" max="1"/>
    <col width="62" customWidth="1" min="2" max="2"/>
    <col width="30" customWidth="1" min="3" max="3"/>
    <col width="16" customWidth="1" min="4" max="4"/>
  </cols>
  <sheetData>
    <row r="1">
      <c r="A1" s="1" t="inlineStr">
        <is>
          <t>RBM Directive 2018 - credit risk management for DFIs - compliance audit</t>
        </is>
      </c>
    </row>
    <row r="2">
      <c r="A2" s="2" t="inlineStr">
        <is>
          <t>Contents (the standard's own order of sections). Click a section to open its row on the Audit sheet.</t>
        </is>
      </c>
    </row>
    <row r="4">
      <c r="A4" s="3" t="inlineStr">
        <is>
          <t>Status definitions</t>
        </is>
      </c>
      <c r="C4" s="4" t="inlineStr">
        <is>
          <t>Sections</t>
        </is>
      </c>
    </row>
    <row r="5" ht="26" customHeight="1">
      <c r="A5" s="5" t="inlineStr">
        <is>
          <t>Done</t>
        </is>
      </c>
      <c r="B5" s="6" t="inlineStr">
        <is>
          <t>Implemented in the system and visible in an approved output; the test in column 11 fails if the behaviour changes.</t>
        </is>
      </c>
      <c r="C5" s="7">
        <f>COUNTIF(Audit!$D:$D,"Done")</f>
        <v/>
      </c>
    </row>
    <row r="6" ht="26" customHeight="1">
      <c r="A6" s="8" t="inlineStr">
        <is>
          <t>Partially done</t>
        </is>
      </c>
      <c r="B6" s="6" t="inlineStr">
        <is>
          <t>The mechanics are in place, but a parameter, an input or a piece of evidence still differs from the requirement.</t>
        </is>
      </c>
      <c r="C6" s="7">
        <f>COUNTIF(Audit!$D:$D,"Partially done")</f>
        <v/>
      </c>
    </row>
    <row r="7" ht="26" customHeight="1">
      <c r="A7" s="9" t="inlineStr">
        <is>
          <t>Outstanding</t>
        </is>
      </c>
      <c r="B7" s="6" t="inlineStr">
        <is>
          <t>Required for MAIIC and not built.</t>
        </is>
      </c>
      <c r="C7" s="7">
        <f>COUNTIF(Audit!$D:$D,"Outstanding")</f>
        <v/>
      </c>
    </row>
    <row r="8" ht="26" customHeight="1">
      <c r="A8" s="10" t="inlineStr">
        <is>
          <t>Not applicable, documented</t>
        </is>
      </c>
      <c r="B8" s="6" t="inlineStr">
        <is>
          <t>Does not apply to MAIIC by a recorded decision or fact (reason and reference given); revisit if the facts change.</t>
        </is>
      </c>
      <c r="C8" s="7">
        <f>COUNTIF(Audit!$D:$D,"Not applicable, documented")</f>
        <v/>
      </c>
    </row>
    <row r="9" ht="26" customHeight="1">
      <c r="A9" s="11" t="inlineStr">
        <is>
          <t>Evidence needed from MAIIC</t>
        </is>
      </c>
      <c r="B9" s="6" t="inlineStr">
        <is>
          <t>The system is ready; MAIIC must supply a document, minute or dataset before the row can be closed.</t>
        </is>
      </c>
      <c r="C9" s="7">
        <f>COUNTIF(Audit!$D:$D,"Evidence needed from MAIIC")</f>
        <v/>
      </c>
    </row>
    <row r="10">
      <c r="A10" s="12" t="inlineStr">
        <is>
          <t>Sections audited</t>
        </is>
      </c>
      <c r="C10" s="13">
        <f>COUNTA(Audit!$A$5:$A$26)-3</f>
        <v/>
      </c>
    </row>
    <row r="11">
      <c r="A11" s="12" t="inlineStr">
        <is>
          <t>Baselines passing</t>
        </is>
      </c>
      <c r="C11" s="13">
        <f>COUNTIF(Baselines!$E:$E,"PASS")&amp;" of "&amp;COUNTA(Baselines!$A$5:$A$500)</f>
        <v/>
      </c>
    </row>
    <row r="13">
      <c r="A13" s="14" t="inlineStr">
        <is>
          <t>Ref</t>
        </is>
      </c>
      <c r="B13" s="14" t="inlineStr">
        <is>
          <t>Section</t>
        </is>
      </c>
      <c r="C13" s="14" t="inlineStr">
        <is>
          <t>Status</t>
        </is>
      </c>
      <c r="D13" s="14" t="inlineStr">
        <is>
          <t>Open in Audit</t>
        </is>
      </c>
    </row>
    <row r="14">
      <c r="A14" s="15" t="inlineStr">
        <is>
          <t>PART I - PRELIMINARY</t>
        </is>
      </c>
    </row>
    <row r="15">
      <c r="A15" s="16" t="inlineStr">
        <is>
          <t>2</t>
        </is>
      </c>
      <c r="B15" s="17" t="inlineStr">
        <is>
          <t>Definitions: short-, medium- and long-term facilities</t>
        </is>
      </c>
      <c r="C15" s="16">
        <f>Audit!D6</f>
        <v/>
      </c>
      <c r="D15" s="17" t="inlineStr">
        <is>
          <t>Audit row 6</t>
        </is>
      </c>
    </row>
    <row r="16">
      <c r="A16" s="15" t="inlineStr">
        <is>
          <t>PART III - REQUIREMENTS</t>
        </is>
      </c>
    </row>
    <row r="17">
      <c r="A17" s="16" t="inlineStr">
        <is>
          <t>4(b)(vi), 4(b)(x)</t>
        </is>
      </c>
      <c r="B17" s="17" t="inlineStr">
        <is>
          <t>Board-approved written policies: write-offs of loss facilities; restructuring</t>
        </is>
      </c>
      <c r="C17" s="16">
        <f>Audit!D8</f>
        <v/>
      </c>
      <c r="D17" s="17" t="inlineStr">
        <is>
          <t>Audit row 8</t>
        </is>
      </c>
    </row>
    <row r="18">
      <c r="A18" s="16" t="inlineStr">
        <is>
          <t>5(1)(b)</t>
        </is>
      </c>
      <c r="B18" s="17" t="inlineStr">
        <is>
          <t>Written valuation methods for collateral</t>
        </is>
      </c>
      <c r="C18" s="16">
        <f>Audit!D9</f>
        <v/>
      </c>
      <c r="D18" s="17" t="inlineStr">
        <is>
          <t>Audit row 9</t>
        </is>
      </c>
    </row>
    <row r="19">
      <c r="A19" s="16" t="inlineStr">
        <is>
          <t>10</t>
        </is>
      </c>
      <c r="B19" s="17" t="inlineStr">
        <is>
          <t>Classification of credit facilities</t>
        </is>
      </c>
      <c r="C19" s="16">
        <f>Audit!D10</f>
        <v/>
      </c>
      <c r="D19" s="17" t="inlineStr">
        <is>
          <t>Audit row 10</t>
        </is>
      </c>
    </row>
    <row r="20">
      <c r="A20" s="16" t="inlineStr">
        <is>
          <t>11(1), 11(2)</t>
        </is>
      </c>
      <c r="B20" s="17" t="inlineStr">
        <is>
          <t>Quarterly review of all facilities; prompt reclassification</t>
        </is>
      </c>
      <c r="C20" s="16">
        <f>Audit!D11</f>
        <v/>
      </c>
      <c r="D20" s="17" t="inlineStr">
        <is>
          <t>Audit row 11</t>
        </is>
      </c>
    </row>
    <row r="21">
      <c r="A21" s="16" t="inlineStr">
        <is>
          <t>11(3)</t>
        </is>
      </c>
      <c r="B21" s="17" t="inlineStr">
        <is>
          <t>Review each large exposure individually</t>
        </is>
      </c>
      <c r="C21" s="16">
        <f>Audit!D12</f>
        <v/>
      </c>
      <c r="D21" s="17" t="inlineStr">
        <is>
          <t>Audit row 12</t>
        </is>
      </c>
    </row>
    <row r="22">
      <c r="A22" s="16" t="inlineStr">
        <is>
          <t>12</t>
        </is>
      </c>
      <c r="B22" s="17" t="inlineStr">
        <is>
          <t>Write off loss facilities in the following quarter</t>
        </is>
      </c>
      <c r="C22" s="16">
        <f>Audit!D13</f>
        <v/>
      </c>
      <c r="D22" s="17" t="inlineStr">
        <is>
          <t>Audit row 13</t>
        </is>
      </c>
    </row>
    <row r="23">
      <c r="A23" s="16" t="inlineStr">
        <is>
          <t>13(1)</t>
        </is>
      </c>
      <c r="B23" s="17" t="inlineStr">
        <is>
          <t>Non-accrual: cease accrual, reverse uncollected interest, recognise interest only when received in cash</t>
        </is>
      </c>
      <c r="C23" s="16">
        <f>Audit!D14</f>
        <v/>
      </c>
      <c r="D23" s="17" t="inlineStr">
        <is>
          <t>Audit row 14</t>
        </is>
      </c>
    </row>
    <row r="24">
      <c r="A24" s="16" t="inlineStr">
        <is>
          <t>13(2)</t>
        </is>
      </c>
      <c r="B24" s="17" t="inlineStr">
        <is>
          <t>Non-accrual regardless of collateral</t>
        </is>
      </c>
      <c r="C24" s="16">
        <f>Audit!D15</f>
        <v/>
      </c>
      <c r="D24" s="17" t="inlineStr">
        <is>
          <t>Audit row 15</t>
        </is>
      </c>
    </row>
    <row r="25">
      <c r="A25" s="16" t="inlineStr">
        <is>
          <t>13(3)</t>
        </is>
      </c>
      <c r="B25" s="17" t="inlineStr">
        <is>
          <t>Restore to accrual only when all arrears are paid</t>
        </is>
      </c>
      <c r="C25" s="16">
        <f>Audit!D16</f>
        <v/>
      </c>
      <c r="D25" s="17" t="inlineStr">
        <is>
          <t>Audit row 16</t>
        </is>
      </c>
    </row>
    <row r="26">
      <c r="A26" s="16" t="inlineStr">
        <is>
          <t>14 and Schedule</t>
        </is>
      </c>
      <c r="B26" s="17" t="inlineStr">
        <is>
          <t>Minimum provisions by class</t>
        </is>
      </c>
      <c r="C26" s="16">
        <f>Audit!D17</f>
        <v/>
      </c>
      <c r="D26" s="17" t="inlineStr">
        <is>
          <t>Audit row 17</t>
        </is>
      </c>
    </row>
    <row r="27">
      <c r="A27" s="16" t="inlineStr">
        <is>
          <t>15(1)</t>
        </is>
      </c>
      <c r="B27" s="17" t="inlineStr">
        <is>
          <t>Excess of the regulatory provision over IFRS to a loan loss reserve</t>
        </is>
      </c>
      <c r="C27" s="16">
        <f>Audit!D18</f>
        <v/>
      </c>
      <c r="D27" s="17" t="inlineStr">
        <is>
          <t>Audit row 18</t>
        </is>
      </c>
    </row>
    <row r="28">
      <c r="A28" s="16" t="inlineStr">
        <is>
          <t>15(2), 15(4)</t>
        </is>
      </c>
      <c r="B28" s="17" t="inlineStr">
        <is>
          <t>The reserve is not capital; released only after recoveries or with the Registrar's approval</t>
        </is>
      </c>
      <c r="C28" s="16">
        <f>Audit!D19</f>
        <v/>
      </c>
      <c r="D28" s="17" t="inlineStr">
        <is>
          <t>Audit row 19</t>
        </is>
      </c>
    </row>
    <row r="29">
      <c r="A29" s="16" t="inlineStr">
        <is>
          <t>15(3)</t>
        </is>
      </c>
      <c r="B29" s="17" t="inlineStr">
        <is>
          <t>Report loan loss reserves on the call report as prescribed</t>
        </is>
      </c>
      <c r="C29" s="16">
        <f>Audit!D20</f>
        <v/>
      </c>
      <c r="D29" s="17" t="inlineStr">
        <is>
          <t>Audit row 20</t>
        </is>
      </c>
    </row>
    <row r="30">
      <c r="A30" s="16" t="inlineStr">
        <is>
          <t>16(1)</t>
        </is>
      </c>
      <c r="B30" s="17" t="inlineStr">
        <is>
          <t>No restructure, renegotiation, roll-over or modification without Board approval</t>
        </is>
      </c>
      <c r="C30" s="16">
        <f>Audit!D21</f>
        <v/>
      </c>
      <c r="D30" s="17" t="inlineStr">
        <is>
          <t>Audit row 21</t>
        </is>
      </c>
    </row>
    <row r="31">
      <c r="A31" s="16" t="inlineStr">
        <is>
          <t>16(2)</t>
        </is>
      </c>
      <c r="B31" s="17" t="inlineStr">
        <is>
          <t>Single borrower or group limit of 25 percent of core capital</t>
        </is>
      </c>
      <c r="C31" s="16">
        <f>Audit!D22</f>
        <v/>
      </c>
      <c r="D31" s="17" t="inlineStr">
        <is>
          <t>Audit row 22</t>
        </is>
      </c>
    </row>
    <row r="32">
      <c r="A32" s="16" t="inlineStr">
        <is>
          <t>16(3)</t>
        </is>
      </c>
      <c r="B32" s="17" t="inlineStr">
        <is>
          <t>No overdraft facilities</t>
        </is>
      </c>
      <c r="C32" s="16">
        <f>Audit!D23</f>
        <v/>
      </c>
      <c r="D32" s="17" t="inlineStr">
        <is>
          <t>Audit row 23</t>
        </is>
      </c>
    </row>
    <row r="33">
      <c r="A33" s="16" t="inlineStr">
        <is>
          <t>3 to 9</t>
        </is>
      </c>
      <c r="B33" s="17" t="inlineStr">
        <is>
          <t>Objectives; Board and executive duties; lending criteria; funding records; internal audit; independent risk function</t>
        </is>
      </c>
      <c r="C33" s="16">
        <f>Audit!D24</f>
        <v/>
      </c>
      <c r="D33" s="17" t="inlineStr">
        <is>
          <t>Audit row 24</t>
        </is>
      </c>
    </row>
    <row r="34">
      <c r="A34" s="15" t="inlineStr">
        <is>
          <t>PART IV - ENFORCEMENT</t>
        </is>
      </c>
    </row>
    <row r="35">
      <c r="A35" s="16" t="inlineStr">
        <is>
          <t>17, 18</t>
        </is>
      </c>
      <c r="B35" s="17" t="inlineStr">
        <is>
          <t>Monetary and administrative penalties; auditor qualification</t>
        </is>
      </c>
      <c r="C35" s="16">
        <f>Audit!D26</f>
        <v/>
      </c>
      <c r="D35" s="17" t="inlineStr">
        <is>
          <t>Audit row 26</t>
        </is>
      </c>
    </row>
    <row r="37">
      <c r="A37" s="18" t="inlineStr">
        <is>
          <t>Findings that need a decision or a fix: see the 'Findings' sheet</t>
        </is>
      </c>
    </row>
    <row r="38">
      <c r="A38" s="18" t="inlineStr">
        <is>
          <t>The acceptance ties read from the system: see the 'Baselines' sheet</t>
        </is>
      </c>
    </row>
    <row r="39">
      <c r="A39" s="19" t="inlineStr">
        <is>
          <t>Source: docs/regulatory/RBM Financial Services (Credit Risk Management for DFIs) Directive 2018 pp42-47.pdf (Gazette 13 July 2018, pages 680 to 685). Spec v4 section 3.6, decision D31; the O13 rebuttal paper of 8 October 2026.</t>
        </is>
      </c>
    </row>
  </sheetData>
  <mergeCells count="3">
    <mergeCell ref="A16:D16"/>
    <mergeCell ref="A14:D14"/>
    <mergeCell ref="A34:D34"/>
  </mergeCells>
  <conditionalFormatting sqref="C14:C36">
    <cfRule type="expression" priority="1" dxfId="0">
      <formula>$C14="Done"</formula>
    </cfRule>
    <cfRule type="expression" priority="2" dxfId="1">
      <formula>$C14="Partially done"</formula>
    </cfRule>
    <cfRule type="expression" priority="3" dxfId="2">
      <formula>$C14="Outstanding"</formula>
    </cfRule>
    <cfRule type="expression" priority="4" dxfId="3">
      <formula>$C14="Not applicable, documented"</formula>
    </cfRule>
    <cfRule type="expression" priority="5" dxfId="4">
      <formula>$C14="Evidence needed from MAIIC"</formula>
    </cfRule>
  </conditionalFormatting>
  <hyperlinks>
    <hyperlink ref="B15" location="'Audit'!A6" display="Definitions: short-, medium- and long-term facilities"/>
    <hyperlink ref="D15" location="'Audit'!A6" display="Audit row 6"/>
    <hyperlink ref="B17" location="'Audit'!A8" display="Board-approved written policies: write-offs of loss facilities; restructuring"/>
    <hyperlink ref="D17" location="'Audit'!A8" display="Audit row 8"/>
    <hyperlink ref="B18" location="'Audit'!A9" display="Written valuation methods for collateral"/>
    <hyperlink ref="D18" location="'Audit'!A9" display="Audit row 9"/>
    <hyperlink ref="B19" location="'Audit'!A10" display="Classification of credit facilities"/>
    <hyperlink ref="D19" location="'Audit'!A10" display="Audit row 10"/>
    <hyperlink ref="B20" location="'Audit'!A11" display="Quarterly review of all facilities; prompt reclassification"/>
    <hyperlink ref="D20" location="'Audit'!A11" display="Audit row 11"/>
    <hyperlink ref="B21" location="'Audit'!A12" display="Review each large exposure individually"/>
    <hyperlink ref="D21" location="'Audit'!A12" display="Audit row 12"/>
    <hyperlink ref="B22" location="'Audit'!A13" display="Write off loss facilities in the following quarter"/>
    <hyperlink ref="D22" location="'Audit'!A13" display="Audit row 13"/>
    <hyperlink ref="B23" location="'Audit'!A14" display="Non-accrual: cease accrual, reverse uncollected interest, recognise interest only when received in cash"/>
    <hyperlink ref="D23" location="'Audit'!A14" display="Audit row 14"/>
    <hyperlink ref="B24" location="'Audit'!A15" display="Non-accrual regardless of collateral"/>
    <hyperlink ref="D24" location="'Audit'!A15" display="Audit row 15"/>
    <hyperlink ref="B25" location="'Audit'!A16" display="Restore to accrual only when all arrears are paid"/>
    <hyperlink ref="D25" location="'Audit'!A16" display="Audit row 16"/>
    <hyperlink ref="B26" location="'Audit'!A17" display="Minimum provisions by class"/>
    <hyperlink ref="D26" location="'Audit'!A17" display="Audit row 17"/>
    <hyperlink ref="B27" location="'Audit'!A18" display="Excess of the regulatory provision over IFRS to a loan loss reserve"/>
    <hyperlink ref="D27" location="'Audit'!A18" display="Audit row 18"/>
    <hyperlink ref="B28" location="'Audit'!A19" display="The reserve is not capital; released only after recoveries or with the Registrar's approval"/>
    <hyperlink ref="D28" location="'Audit'!A19" display="Audit row 19"/>
    <hyperlink ref="B29" location="'Audit'!A20" display="Report loan loss reserves on the call report as prescribed"/>
    <hyperlink ref="D29" location="'Audit'!A20" display="Audit row 20"/>
    <hyperlink ref="B30" location="'Audit'!A21" display="No restructure, renegotiation, roll-over or modification without Board approval"/>
    <hyperlink ref="D30" location="'Audit'!A21" display="Audit row 21"/>
    <hyperlink ref="B31" location="'Audit'!A22" display="Single borrower or group limit of 25 percent of core capital"/>
    <hyperlink ref="D31" location="'Audit'!A22" display="Audit row 22"/>
    <hyperlink ref="B32" location="'Audit'!A23" display="No overdraft facilities"/>
    <hyperlink ref="D32" location="'Audit'!A23" display="Audit row 23"/>
    <hyperlink ref="B33" location="'Audit'!A24" display="Objectives; Board and executive duties; lending criteria; funding records; internal audit; independent risk function"/>
    <hyperlink ref="D33" location="'Audit'!A24" display="Audit row 24"/>
    <hyperlink ref="B35" location="'Audit'!A26" display="Monetary and administrative penalties; auditor qualification"/>
    <hyperlink ref="D35" location="'Audit'!A26" display="Audit row 26"/>
    <hyperlink ref="A37" location="'Findings'!A1" display="Findings that need a decision or a fix: see the 'Findings' sheet"/>
    <hyperlink ref="A38" location="'Baselines'!A1" display="The acceptance ties read from the system: see the 'Baselines' sheet"/>
  </hyperlinks>
  <pageMargins left="0.75" right="0.75" top="1" bottom="1" header="0.5" footer="0.5"/>
  <pageSetup orientation="landscape" fitToHeight="0" fitToWidth="1"/>
</worksheet>
</file>

<file path=xl/worksheets/sheet2.xml><?xml version="1.0" encoding="utf-8"?>
<worksheet xmlns="http://schemas.openxmlformats.org/spreadsheetml/2006/main">
  <sheetPr>
    <tabColor rgb="000B2B1A"/>
    <outlinePr summaryBelow="1" summaryRight="1"/>
    <pageSetUpPr fitToPage="1"/>
  </sheetPr>
  <dimension ref="A1:K26"/>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12" customWidth="1" min="1" max="1"/>
    <col width="30" customWidth="1" min="2" max="2"/>
    <col width="56" customWidth="1" min="3" max="3"/>
    <col width="22" customWidth="1" min="4" max="4"/>
    <col width="58" customWidth="1" min="5" max="5"/>
    <col width="36" customWidth="1" min="6" max="6"/>
    <col width="42" customWidth="1" min="7" max="7"/>
    <col width="46" customWidth="1" min="8" max="8"/>
    <col width="20" customWidth="1" min="9" max="9"/>
    <col width="30" customWidth="1" min="10" max="10"/>
    <col width="44" customWidth="1" min="11" max="11"/>
  </cols>
  <sheetData>
    <row r="1">
      <c r="A1" s="20" t="inlineStr">
        <is>
          <t>Financial Services (Credit Risk Management for Development Finance Institutions) Directive 2018, Reserve Bank of Malawi (Gazette 13 July 2018, pages 680 to 685) - compliance audit</t>
        </is>
      </c>
    </row>
    <row r="2" ht="30" customHeight="1">
      <c r="A2" s="21" t="inlineStr">
        <is>
          <t>Malawi Agricultural and Industrial Investment Company (MAIIC) - IFRS 9 EIR and ECL system - build of 14 October 2026 (branch eir_revenue_recognition, commit abe140d) against specification v4. As of 14 October 2026: the code at commit abe140d (the uncommitted screen changes in the working tree do not alter any row) and the fresh bootstrap maiic_ifrs9_results2 of 13 October 2026, made before commit 216aee2, read with SELECTs only. Paragraph references re-keyed to the Gazette on 14 October 2026 (they cited 9, 11, 12, 15 and 17 for the wrong subjects). The Gazette's text layer misprints the Schedule's short-term rows, so the short-term bands are read from paragraph 10. Reviewer: MAIIC Risk. Status definitions: see 'Contents'.</t>
        </is>
      </c>
    </row>
    <row r="3">
      <c r="A3" s="18" t="inlineStr">
        <is>
          <t>Back to Contents</t>
        </is>
      </c>
    </row>
    <row r="4" ht="34" customHeight="1">
      <c r="A4" s="14" t="inlineStr">
        <is>
          <t>Reference</t>
        </is>
      </c>
      <c r="B4" s="14" t="inlineStr">
        <is>
          <t>Section name</t>
        </is>
      </c>
      <c r="C4" s="14" t="inlineStr">
        <is>
          <t>What it requires</t>
        </is>
      </c>
      <c r="D4" s="14" t="inlineStr">
        <is>
          <t>Status</t>
        </is>
      </c>
      <c r="E4" s="14" t="inlineStr">
        <is>
          <t>What the engine does (evidence checked)</t>
        </is>
      </c>
      <c r="F4" s="14" t="inlineStr">
        <is>
          <t>General comment</t>
        </is>
      </c>
      <c r="G4" s="14" t="inlineStr">
        <is>
          <t>Compliance comment</t>
        </is>
      </c>
      <c r="H4" s="14" t="inlineStr">
        <is>
          <t>Where to see it (screen; report or export)</t>
        </is>
      </c>
      <c r="I4" s="14" t="inlineStr">
        <is>
          <t>Reviewer sign-off (initials / date)</t>
        </is>
      </c>
      <c r="J4" s="14" t="inlineStr">
        <is>
          <t>Governance setting</t>
        </is>
      </c>
      <c r="K4" s="14" t="inlineStr">
        <is>
          <t>Test that proves it</t>
        </is>
      </c>
    </row>
    <row r="5">
      <c r="A5" s="15" t="inlineStr">
        <is>
          <t>PART I - PRELIMINARY</t>
        </is>
      </c>
    </row>
    <row r="6">
      <c r="A6" s="22" t="inlineStr">
        <is>
          <t>2</t>
        </is>
      </c>
      <c r="B6" s="22" t="inlineStr">
        <is>
          <t>Definitions: short-, medium- and long-term facilities</t>
        </is>
      </c>
      <c r="C6" s="22" t="inlineStr">
        <is>
          <t>A short-term facility has a repayment period of not more than 12 months; medium-term not less than 12 and not more than 60 months; long-term more than 60 months.</t>
        </is>
      </c>
      <c r="D6" s="23" t="inlineStr">
        <is>
          <t>Done</t>
        </is>
      </c>
      <c r="E6" s="22" t="inlineStr">
        <is>
          <t>The staging thresholds are keyed by facility class and tenor in months (DEFAULT min_tenor 0: short-term; min_tenor 13: medium and long); the RBM Return and the RBM Classification report put a tenor of 12 months or less in short-term (RbmReturnService::classify, tenor &lt;= 12).</t>
        </is>
      </c>
      <c r="F6" s="22" t="inlineStr">
        <is>
          <t>The Gazette's medium-term definition ('not less than 12 months') overlaps the short-term one at exactly 12 months; the system reads 12 months as short-term, the more prudent reading for days past due. No test pins tenor 12 against 13.</t>
        </is>
      </c>
      <c r="G6" s="22" t="inlineStr">
        <is>
          <t>Compliant; the 12-month overlap is an interpretation MAIIC Risk should confirm.</t>
        </is>
      </c>
      <c r="H6" s="22" t="inlineStr">
        <is>
          <t>Settings, Staging basis: /setting?tab=staging; Reports: RBM Classification /ifrs9-reports/rbm-classification; IFRS 9 vs RBM /ifrs9-reports/ifrs9-vs-rbm</t>
        </is>
      </c>
      <c r="I6" s="22" t="inlineStr"/>
      <c r="J6" s="22" t="inlineStr">
        <is>
          <t>dpd_basis</t>
        </is>
      </c>
      <c r="K6" s="22" t="inlineStr">
        <is>
          <t>Tests\Feature\Eir\StagingThresholdSeederTest::test_short_term_facilities_are_stage_3_at_91_days_as_the_directive_classifies_them; Tests\Feature\Rbm\RbmReturnServiceTest::test_the_directive_bands_by_term</t>
        </is>
      </c>
    </row>
    <row r="7">
      <c r="A7" s="15" t="inlineStr">
        <is>
          <t>PART III - REQUIREMENTS</t>
        </is>
      </c>
    </row>
    <row r="8">
      <c r="A8" s="22" t="inlineStr">
        <is>
          <t>4(b)(vi), 4(b)(x)</t>
        </is>
      </c>
      <c r="B8" s="22" t="inlineStr">
        <is>
          <t>Board-approved written policies: write-offs of loss facilities; restructuring</t>
        </is>
      </c>
      <c r="C8" s="22" t="inlineStr">
        <is>
          <t>The Board adopts and ensures implementation of a written policy covering, among other things, write-offs of loss credit facilities and restructuring of credit facilities.</t>
        </is>
      </c>
      <c r="D8" s="23" t="inlineStr">
        <is>
          <t>Evidence needed from MAIIC</t>
        </is>
      </c>
      <c r="E8" s="22" t="inlineStr">
        <is>
          <t>The system holds the write-offs it can see: WriteOffClassifier identifies ledger write-offs (type 300; a batch whose other leg debits GL 1064; ACCOUNT CLOSURE on a status-H account) and the write-off register (eir-write-offs) records one not on the loan account, proposed by one person and approved by another. On the fresh bootstrap: 22 ledger write-offs of 60,778,466.86 and an empty register. No Board approval is recorded against either, and no restructuring policy is held.</t>
        </is>
      </c>
      <c r="F8" s="22" t="inlineStr">
        <is>
          <t>Built 13 October 2026 (commit 220a5a6).</t>
        </is>
      </c>
      <c r="G8" s="22" t="inlineStr">
        <is>
          <t>Evidence needed: MAIIC's Board-approved write-off and restructuring policies.</t>
        </is>
      </c>
      <c r="H8" s="22" t="inlineStr">
        <is>
          <t>EIR &amp; Revenue Recognition, EIR Data, Write-offs: /eir-write-offs</t>
        </is>
      </c>
      <c r="I8" s="22" t="inlineStr"/>
      <c r="J8" s="22" t="inlineStr"/>
      <c r="K8" s="22" t="inlineStr">
        <is>
          <t>Tests\Feature\Eir\WriteOffTest::test_a_register_write_off_reaches_the_engines_only_when_a_different_person_approves_it</t>
        </is>
      </c>
    </row>
    <row r="9">
      <c r="A9" s="22" t="inlineStr">
        <is>
          <t>5(1)(b)</t>
        </is>
      </c>
      <c r="B9" s="22" t="inlineStr">
        <is>
          <t>Written valuation methods for collateral</t>
        </is>
      </c>
      <c r="C9" s="22" t="inlineStr">
        <is>
          <t>An executive officer shall have written valuation methods for determining the fair value of collateral and their impact on capital and earnings.</t>
        </is>
      </c>
      <c r="D9" s="23" t="inlineStr">
        <is>
          <t>Evidence needed from MAIIC</t>
        </is>
      </c>
      <c r="E9" s="22" t="inlineStr">
        <is>
          <t>The E-Banker security register (P2_11, 185 rows) is landed; the collateral register and allocation screens exist with a checked import, but on the fresh bootstrap collateral_registers and collateral_allocations hold no rows, and the LGD engine does not read collateral.</t>
        </is>
      </c>
      <c r="F9" s="22" t="inlineStr"/>
      <c r="G9" s="22" t="inlineStr">
        <is>
          <t>Evidence needed from Credit: the valuation method and the valuations; the LGD link is Dupleix's (IFRS 9 impairment workbook B5.5.55).</t>
        </is>
      </c>
      <c r="H9" s="22" t="inlineStr">
        <is>
          <t>Collateral Management, Collateral Register: /collateral/register</t>
        </is>
      </c>
      <c r="I9" s="22" t="inlineStr"/>
      <c r="J9" s="22" t="inlineStr"/>
      <c r="K9" s="22" t="inlineStr"/>
    </row>
    <row r="10">
      <c r="A10" s="22" t="inlineStr">
        <is>
          <t>10</t>
        </is>
      </c>
      <c r="B10" s="22" t="inlineStr">
        <is>
          <t>Classification of credit facilities</t>
        </is>
      </c>
      <c r="C10" s="22" t="inlineStr">
        <is>
          <t>Classify every facility as standard, special mention, substandard, doubtful or loss: short-term at 0-30 / 31-90 / 91-180 / 181-365 / over 365 days overdue; medium and long term at 0-90 / 91-180 / 181-365 / 366-746 / over 746 days.</t>
        </is>
      </c>
      <c r="D10" s="23" t="inlineStr">
        <is>
          <t>Done</t>
        </is>
      </c>
      <c r="E10" s="22" t="inlineStr">
        <is>
          <t>RbmReturnService::classify applies the paragraph 10 bands by term (BANDS short 30/90/180/365, long 90/180/365/746); the RBM Classification report, the provision comparison and the arrears ageing use the same rule. Days are counted from the oldest overdue instalment; since commit 216aee2 the count reads E-Banker's instalment chart in force at each month-end (InstalmentChartHistory).</t>
        </is>
      </c>
      <c r="F10" s="22" t="inlineStr">
        <is>
          <t>Paragraph 10 makes 31-90 days 'standard' for a medium- or long-term facility; IFRS 9 Stage 2 nevertheless starts at 31 days in every class (the B5.5.11 presumption). The LONG_TERM threshold row proposing Stage 2 at 91 days for medium- and long-term facilities only (short-term stays at 31) is seeded future-dated (2099) and inactive pending CFO sign-off.</t>
        </is>
      </c>
      <c r="G10" s="22" t="inlineStr">
        <is>
          <t>Compliant.</t>
        </is>
      </c>
      <c r="H10" s="22" t="inlineStr">
        <is>
          <t>Reports: RBM Classification /ifrs9-reports/rbm-classification; IFRS 9 vs RBM /ifrs9-reports/ifrs9-vs-rbm; Reports: RBM Return (provisional) /rbm-return</t>
        </is>
      </c>
      <c r="I10" s="22" t="inlineStr"/>
      <c r="J10" s="22" t="inlineStr">
        <is>
          <t>dpd_basis</t>
        </is>
      </c>
      <c r="K10" s="22" t="inlineStr">
        <is>
          <t>Tests\Feature\Rbm\RbmReturnServiceTest::test_the_directive_bands_by_term; Tests\Feature\Rbm\RbmReturnServiceTest::test_the_rbm_classification_report_agrees_with_the_return_on_every_loan</t>
        </is>
      </c>
    </row>
    <row r="11">
      <c r="A11" s="22" t="inlineStr">
        <is>
          <t>11(1), 11(2)</t>
        </is>
      </c>
      <c r="B11" s="22" t="inlineStr">
        <is>
          <t>Quarterly review of all facilities; prompt reclassification</t>
        </is>
      </c>
      <c r="C11" s="22" t="inlineStr">
        <is>
          <t>Review all credit facilities quarterly for classification and impairment; on a significant deterioration between reviews, promptly reclassify and make the provision.</t>
        </is>
      </c>
      <c r="D11" s="23" t="inlineStr">
        <is>
          <t>Done</t>
        </is>
      </c>
      <c r="E11" s="22" t="inlineStr">
        <is>
          <t>The loan book is built, staged and classified every month (eir:stage for each period; the RBM Return for any period), which is more frequent than the quarter the directive asks for.</t>
        </is>
      </c>
      <c r="F11" s="22" t="inlineStr">
        <is>
          <t>Paragraph 9(2) (the risk function's quarterly review) is a governance duty the monthly figures support.</t>
        </is>
      </c>
      <c r="G11" s="22" t="inlineStr">
        <is>
          <t>Compliant (monthly).</t>
        </is>
      </c>
      <c r="H11" s="22" t="inlineStr">
        <is>
          <t>Reports: RBM Return (provisional) /rbm-return; Workspace: /workspace</t>
        </is>
      </c>
      <c r="I11" s="22" t="inlineStr"/>
      <c r="J11" s="22" t="inlineStr">
        <is>
          <t>dpd_basis; stage3_missed_instalments</t>
        </is>
      </c>
      <c r="K11" s="22" t="inlineStr">
        <is>
          <t>Tests\Feature\Rbm\RbmReturnServiceTest::test_the_return_fills_the_sections_from_the_book</t>
        </is>
      </c>
    </row>
    <row r="12">
      <c r="A12" s="22" t="inlineStr">
        <is>
          <t>11(3)</t>
        </is>
      </c>
      <c r="B12" s="22" t="inlineStr">
        <is>
          <t>Review each large exposure individually</t>
        </is>
      </c>
      <c r="C12" s="22" t="inlineStr">
        <is>
          <t>Review each large exposure (paragraph 2: 10 percent or more of core capital, to a person or group of related parties) on an individual item basis.</t>
        </is>
      </c>
      <c r="D12" s="23" t="inlineStr">
        <is>
          <t>Partially done</t>
        </is>
      </c>
      <c r="E12" s="22" t="inlineStr">
        <is>
          <t>The Concentration and large exposures report lists single names over a threshold typed on the screen (default 1,000,000; Ifrs9ReportsController::concentration). The system holds neither core capital nor groups of related borrowers, so the 10 percent test is not applied.</t>
        </is>
      </c>
      <c r="F12" s="22" t="inlineStr"/>
      <c r="G12" s="22" t="inlineStr">
        <is>
          <t>Partially done: the list exists; the threshold is not the directive's.</t>
        </is>
      </c>
      <c r="H12" s="22" t="inlineStr">
        <is>
          <t>Reports: Concentration and large exposures /ifrs9-reports/concentration</t>
        </is>
      </c>
      <c r="I12" s="22" t="inlineStr"/>
      <c r="J12" s="22" t="inlineStr"/>
      <c r="K12" s="22" t="inlineStr"/>
    </row>
    <row r="13">
      <c r="A13" s="22" t="inlineStr">
        <is>
          <t>12</t>
        </is>
      </c>
      <c r="B13" s="22" t="inlineStr">
        <is>
          <t>Write off loss facilities in the following quarter</t>
        </is>
      </c>
      <c r="C13" s="22" t="inlineStr">
        <is>
          <t>Write off all facilities classified as loss from the books in the quarter following the one in which the loss classification was made.</t>
        </is>
      </c>
      <c r="D13" s="23" t="inlineStr">
        <is>
          <t>Partially done</t>
        </is>
      </c>
      <c r="E13" s="22" t="inlineStr">
        <is>
          <t>Built 14 October 2026: the RBM Return's section 'Loss facilities to be written off' lists each loss facility with the month it became loss on the loan books (the unbroken run of loss classification by days past due and term; 'at or before' where the run reaches the first month held), its age in months, the quarter-end by which it must be written off and its status (overdue, due this quarter, due next quarter). On the fresh bootstrap at September 2026: 10 facilities of 1,510,956,083.45, 7 of them (1,030,047,803.06) past the write-off quarter. The write-off itself is a person's act in the write-off register; the system shows the deadline, it does not write off.</t>
        </is>
      </c>
      <c r="F13" s="22" t="inlineStr">
        <is>
          <t>Figures from the fresh bootstrap maiic_ifrs9_results2 (13 October 2026, before commit 216aee2), main book (the six MAIIC and FInES loan GLs) at September 2026. Until 14 October 2026 this row was Outstanding.</t>
        </is>
      </c>
      <c r="G13" s="22" t="inlineStr">
        <is>
          <t>Partially done: the list and the deadline are built; the overdue facilities are for Credit and Finance to write off (or explain) in the register.</t>
        </is>
      </c>
      <c r="H13" s="22" t="inlineStr">
        <is>
          <t>Reports: RBM Return (provisional) /rbm-return (Loss facilities to be written off); /eir-write-offs</t>
        </is>
      </c>
      <c r="I13" s="22" t="inlineStr"/>
      <c r="J13" s="22" t="inlineStr"/>
      <c r="K13" s="22" t="inlineStr">
        <is>
          <t>Tests\Feature\Rbm\RbmReturnServiceTest::test_loss_facilities_are_listed_with_the_quarter_they_must_be_written_off_by</t>
        </is>
      </c>
    </row>
    <row r="14">
      <c r="A14" s="22" t="inlineStr">
        <is>
          <t>13(1)</t>
        </is>
      </c>
      <c r="B14" s="22" t="inlineStr">
        <is>
          <t>Non-accrual: cease accrual, reverse uncollected interest, recognise interest only when received in cash</t>
        </is>
      </c>
      <c r="C14" s="22" t="inlineStr">
        <is>
          <t>Place all non-performing facilities on non-accrual: cease accruing interest in income, reverse uncollected interest previously accrued, and recognise interest only when received in cash.</t>
        </is>
      </c>
      <c r="D14" s="23" t="inlineStr">
        <is>
          <t>Partially done</t>
        </is>
      </c>
      <c r="E14" s="22" t="inlineStr">
        <is>
          <t>Section C of the RBM Return reports the month's contractual interest posted less the EIR interest on the net basis and, since 14 October 2026, the cumulative measure: the contractual interest charged on each facility non-performing at the month-end since the month it became non-performing on the loan books, with the cash received in the same window beside it and GL 1320 from the trial balance as the tie (with the difference). At September 2026 on the fresh bootstrap: 821,916,269.33 charged since non-performing on 50 facilities, 760,304,079.21 received; the trial balances from March 2026 carry no 1320 line (the last held is 21,865,867.35 credit at February 2026, unchanged since January 2025, so E-Banker posts no suspense). Not measured: the part of the cash received that is interest, because the ledger does not split a repayment, so the cash-basis income the directive allows is shown as a named gap.</t>
        </is>
      </c>
      <c r="F14" s="22" t="inlineStr">
        <is>
          <t>Until 14 October 2026 section C was one period's figure only and GL 1320 was read nowhere.</t>
        </is>
      </c>
      <c r="G14" s="22" t="inlineStr">
        <is>
          <t>Partially done: the cumulative suspense and the GL 1320 tie are built; the cash-basis split and Finance's posting of suspense are open.</t>
        </is>
      </c>
      <c r="H14" s="22" t="inlineStr">
        <is>
          <t>Reports: RBM Return (provisional) /rbm-return (section C); EIR Calculations, GL Reconciliation: /eir-reconciliation</t>
        </is>
      </c>
      <c r="I14" s="22" t="inlineStr"/>
      <c r="J14" s="22" t="inlineStr">
        <is>
          <t>stage3_interest_basis</t>
        </is>
      </c>
      <c r="K14" s="22" t="inlineStr">
        <is>
          <t>Tests\Feature\Rbm\RbmReturnServiceTest::test_cumulative_interest_in_suspense_is_measured_and_tied_to_gl_1320</t>
        </is>
      </c>
    </row>
    <row r="15">
      <c r="A15" s="22" t="inlineStr">
        <is>
          <t>13(2)</t>
        </is>
      </c>
      <c r="B15" s="22" t="inlineStr">
        <is>
          <t>Non-accrual regardless of collateral</t>
        </is>
      </c>
      <c r="C15" s="22" t="inlineStr">
        <is>
          <t>A non-performing facility is placed on non-accrual whatever collateral is held against it.</t>
        </is>
      </c>
      <c r="D15" s="23" t="inlineStr">
        <is>
          <t>Done</t>
        </is>
      </c>
      <c r="E15" s="22" t="inlineStr">
        <is>
          <t>The classification reads only the days overdue and the term (RbmReturnService::classify takes no collateral), so security never keeps a facility out of the non-performing classes.</t>
        </is>
      </c>
      <c r="F15" s="22" t="inlineStr"/>
      <c r="G15" s="22" t="inlineStr">
        <is>
          <t>Compliant.</t>
        </is>
      </c>
      <c r="H15" s="22" t="inlineStr">
        <is>
          <t>Reports: RBM Return (provisional) /rbm-return</t>
        </is>
      </c>
      <c r="I15" s="22" t="inlineStr"/>
      <c r="J15" s="22" t="inlineStr"/>
      <c r="K15" s="22" t="inlineStr">
        <is>
          <t>Tests\Feature\Rbm\RbmReturnServiceTest::test_the_directive_bands_by_term</t>
        </is>
      </c>
    </row>
    <row r="16">
      <c r="A16" s="22" t="inlineStr">
        <is>
          <t>13(3)</t>
        </is>
      </c>
      <c r="B16" s="22" t="inlineStr">
        <is>
          <t>Restore to accrual only when all arrears are paid</t>
        </is>
      </c>
      <c r="C16" s="22" t="inlineStr">
        <is>
          <t>Restore a facility to accrual only when the borrower has paid all past-due principal and interest.</t>
        </is>
      </c>
      <c r="D16" s="23" t="inlineStr">
        <is>
          <t>Outstanding</t>
        </is>
      </c>
      <c r="E16" s="22" t="inlineStr">
        <is>
          <t>Not built: the Return reclassifies each period from the day count alone, so a facility leaves the non-performing classes as soon as its days overdue fall below the band, whether or not all arrears are paid. The IFRS 9 cure period (stage_cure_months) holds the stage, not the RBM accrual status.</t>
        </is>
      </c>
      <c r="F16" s="22" t="inlineStr"/>
      <c r="G16" s="22" t="inlineStr">
        <is>
          <t>Outstanding (Dupleix): hold a non-performing facility on non-accrual until its arrears are nil.</t>
        </is>
      </c>
      <c r="H16" s="22" t="inlineStr">
        <is>
          <t>Reports: RBM Return (provisional) /rbm-return</t>
        </is>
      </c>
      <c r="I16" s="22" t="inlineStr"/>
      <c r="J16" s="22" t="inlineStr">
        <is>
          <t>stage_cure_months (IFRS 9 stage only)</t>
        </is>
      </c>
      <c r="K16" s="22" t="inlineStr"/>
    </row>
    <row r="17">
      <c r="A17" s="22" t="inlineStr">
        <is>
          <t>14 and Schedule</t>
        </is>
      </c>
      <c r="B17" s="22" t="inlineStr">
        <is>
          <t>Minimum provisions by class</t>
        </is>
      </c>
      <c r="C17" s="22" t="inlineStr">
        <is>
          <t>Provide at least 0 percent on standard, 5 on special mention, 20 on substandard, 50 on doubtful and 100 on loss.</t>
        </is>
      </c>
      <c r="D17" s="23" t="inlineStr">
        <is>
          <t>Done</t>
        </is>
      </c>
      <c r="E17" s="22" t="inlineStr">
        <is>
          <t>The RBM Return (section B), the RBM Classification report and, since 14 October 2026, the Provision Comparison report apply the five rates to the gross carrying amount (the Provision Comparison had used EAD); the unused helper with wrong rates (Ifrs9ReportsController::rbmRate) is deleted. The IFRS 9 allowance set against the minimum is the booked (discounted) allowance, with any loan that has no discounted figure counted and named. The directive says nothing of netting security; the Return does not net it.</t>
        </is>
      </c>
      <c r="F17" s="22" t="inlineStr">
        <is>
          <t>Until 14 October 2026 this row was keyed '12' and said 'net of eligible security', which is not in the Gazette; and it was Partially done (two bases).</t>
        </is>
      </c>
      <c r="G17" s="22" t="inlineStr">
        <is>
          <t>Compliant.</t>
        </is>
      </c>
      <c r="H17" s="22" t="inlineStr">
        <is>
          <t>Reports: RBM Return (provisional) /rbm-return (section B); Reports: RBM Classification /ifrs9-reports/rbm-classification; IFRS 9 vs RBM /ifrs9-reports/ifrs9-vs-rbm; Reports: Provision Comparison /ifrs9-reports/provision-comparison</t>
        </is>
      </c>
      <c r="I17" s="22" t="inlineStr"/>
      <c r="J17" s="22" t="inlineStr"/>
      <c r="K17" s="22" t="inlineStr">
        <is>
          <t>Tests\Feature\Rbm\RbmReturnServiceTest::test_the_return_fills_the_sections_from_the_book</t>
        </is>
      </c>
    </row>
    <row r="18">
      <c r="A18" s="22" t="inlineStr">
        <is>
          <t>15(1)</t>
        </is>
      </c>
      <c r="B18" s="22" t="inlineStr">
        <is>
          <t>Excess of the regulatory provision over IFRS to a loan loss reserve</t>
        </is>
      </c>
      <c r="C18" s="22" t="inlineStr">
        <is>
          <t>Where the directive's provisions exceed the IFRS impairment, the excess is an appropriation of retained earnings to a loan loss reserve.</t>
        </is>
      </c>
      <c r="D18" s="23" t="inlineStr">
        <is>
          <t>Partially done</t>
        </is>
      </c>
      <c r="E18" s="22" t="inlineStr">
        <is>
          <t>Section B's totals set the minimum provision against the IFRS 9 allowance, show the higher of the two and, since 14 October 2026, a line labelled loan loss reserve (paragraph 15(1)): the minimum over the allowance. On the fresh bootstrap at September 2026 the minimum is 3,618,045,560.09 against an IFRS 9 allowance of 11,579,201,589.52 (booked; 38 loans at their undiscounted ECL of 4,460,558,036.40 because they have no discounted figure), so the reserve is nil in total, although the loss class alone carries a 1.51bn minimum against 0.89bn of allowance. The reserve is computed in total, as the paragraph reads.</t>
        </is>
      </c>
      <c r="F18" s="22" t="inlineStr">
        <is>
          <t>Figures from the fresh bootstrap maiic_ifrs9_results2 (13 October 2026, before commit 216aee2), main book (the six MAIIC and FInES loan GLs) at September 2026. Until 14 October 2026 there was no reserve line.</t>
        </is>
      </c>
      <c r="G18" s="22" t="inlineStr">
        <is>
          <t>Partially done: the reserve line is built; the appropriation is a Finance entry, and the allowance it rests on is not wholly discounted yet.</t>
        </is>
      </c>
      <c r="H18" s="22" t="inlineStr">
        <is>
          <t>Reports: RBM Return (provisional) /rbm-return (section B totals)</t>
        </is>
      </c>
      <c r="I18" s="22" t="inlineStr"/>
      <c r="J18" s="22" t="inlineStr"/>
      <c r="K18" s="22" t="inlineStr">
        <is>
          <t>Tests\Feature\Rbm\RbmReturnServiceTest::test_the_allowance_is_the_booked_discounted_allowance_and_a_gap_is_named</t>
        </is>
      </c>
    </row>
    <row r="19">
      <c r="A19" s="22" t="inlineStr">
        <is>
          <t>15(2), 15(4)</t>
        </is>
      </c>
      <c r="B19" s="22" t="inlineStr">
        <is>
          <t>The reserve is not capital; released only after recoveries or with the Registrar's approval</t>
        </is>
      </c>
      <c r="C19" s="22" t="inlineStr">
        <is>
          <t>The loan loss reserve is not capital where no longer available for unidentified losses; it is credited back to retained earnings only after recoveries or with the Registrar's prior approval.</t>
        </is>
      </c>
      <c r="D19" s="23" t="inlineStr">
        <is>
          <t>Not applicable, documented</t>
        </is>
      </c>
      <c r="E19" s="22" t="inlineStr">
        <is>
          <t>An accounting and capital treatment in MAIIC's books, outside the ECL and EIR system.</t>
        </is>
      </c>
      <c r="F19" s="22" t="inlineStr">
        <is>
          <t>Finance applies it when it posts the reserve.</t>
        </is>
      </c>
      <c r="G19" s="22" t="inlineStr">
        <is>
          <t>Not applicable, documented: Finance's posting, not a system output.</t>
        </is>
      </c>
      <c r="H19" s="22" t="inlineStr"/>
      <c r="I19" s="22" t="inlineStr"/>
      <c r="J19" s="22" t="inlineStr"/>
      <c r="K19" s="22" t="inlineStr"/>
    </row>
    <row r="20">
      <c r="A20" s="22" t="inlineStr">
        <is>
          <t>15(3)</t>
        </is>
      </c>
      <c r="B20" s="22" t="inlineStr">
        <is>
          <t>Report loan loss reserves on the call report as prescribed</t>
        </is>
      </c>
      <c r="C20" s="22" t="inlineStr">
        <is>
          <t>Report loan loss reserves separately on the call report in the form the Registrar prescribes.</t>
        </is>
      </c>
      <c r="D20" s="23" t="inlineStr">
        <is>
          <t>Partially done</t>
        </is>
      </c>
      <c r="E20" s="22" t="inlineStr">
        <is>
          <t>RbmReturnService fills a provisional return (A classification by class and term, B minimum provision against the IFRS 9 allowance, C interest in suspense, D restructured facilities, E security held) on the screen and as CSV, Excel and PDF. The prescribed call report form is not in the repository, the reserve is not a line of its own, section D lists only restructures confirmed on the register (none yet), and the section headings on the screen and the download cite the wrong paragraphs (RbmReturnController: 'sections 9 to 11', 'section 12', 'section 15', 'section 17'; they should be 10, 14 and 15, 16(1) and 15(3)).</t>
        </is>
      </c>
      <c r="F20" s="22" t="inlineStr">
        <is>
          <t>Until 14 October 2026 this row was keyed '17', which is the monetary penalties paragraph.</t>
        </is>
      </c>
      <c r="G20" s="22" t="inlineStr">
        <is>
          <t>Partially done: the lines are filled; the prescribed form, the reserve line and the citations are owed.</t>
        </is>
      </c>
      <c r="H20" s="22" t="inlineStr">
        <is>
          <t>Reports: RBM Return (provisional) /rbm-return</t>
        </is>
      </c>
      <c r="I20" s="22" t="inlineStr"/>
      <c r="J20" s="22" t="inlineStr">
        <is>
          <t>dpd_basis</t>
        </is>
      </c>
      <c r="K20" s="22" t="inlineStr">
        <is>
          <t>Tests\Feature\Rbm\RbmReturnServiceTest::test_the_return_fills_the_sections_from_the_book</t>
        </is>
      </c>
    </row>
    <row r="21">
      <c r="A21" s="22" t="inlineStr">
        <is>
          <t>16(1)</t>
        </is>
      </c>
      <c r="B21" s="22" t="inlineStr">
        <is>
          <t>No restructure, renegotiation, roll-over or modification without Board approval</t>
        </is>
      </c>
      <c r="C21" s="22" t="inlineStr">
        <is>
          <t>An institution shall not restructure, renegotiate, roll over or modify the terms of a credit facility unless approved by the Board.</t>
        </is>
      </c>
      <c r="D21" s="23" t="inlineStr">
        <is>
          <t>Partially done</t>
        </is>
      </c>
      <c r="E21" s="22" t="inlineStr">
        <is>
          <t>The restructure register (EIR Data, Restructures &amp; Resets) holds the candidates the detector finds in E-Banker's reschedule history (RS_02a to RS_02f), the migration worksheet and the rate moves of fixed-rate loans; the bootstrap and the month-end run the detector only, and a candidate becomes a restructure only when one person classifies it with a reason and Board approval reference and another approves. Section D of the Return lists every facility with a confirmed restructure by the month-end with its Board approval, counts those restructured in the month and those without a Board approval recorded (flagged in red), and counts the candidates awaiting confirmation without reporting them; on the screen and in the CSV, Excel and PDF. On the scratch clone maiic_ifrs9_wire of 14 October 2026 (a copy of the restructure build's database, migrated): 70 candidates and 323 rate moves recorded, none confirmed, so section D lists no facility and says so.</t>
        </is>
      </c>
      <c r="F21" s="22" t="inlineStr">
        <is>
          <t>Until 14 October 2026 this row was Outstanding: no register existed and section D was null.</t>
        </is>
      </c>
      <c r="G21" s="22" t="inlineStr">
        <is>
          <t>Partially done: built; Credit classifies the candidates and MAIIC records the Board approval of each restructure it confirms.</t>
        </is>
      </c>
      <c r="H21" s="22" t="inlineStr">
        <is>
          <t>Reports: RBM Return (provisional) /rbm-return (section D); EIR Data, Restructures &amp; Resets: /eir-restructures</t>
        </is>
      </c>
      <c r="I21" s="22" t="inlineStr"/>
      <c r="J21" s="22" t="inlineStr">
        <is>
          <t>rate_change_classification; modification_threshold</t>
        </is>
      </c>
      <c r="K21" s="22" t="inlineStr">
        <is>
          <t>Tests\Feature\Rbm\RbmReturnServiceTest::test_section_d_lists_the_confirmed_restructures_with_their_board_approval; Tests\Feature\Eir\RestructureRegisterTest::test_the_rbm_section_d_reports_only_confirmed_restructures_and_names_a_missing_board_approval; Tests\Feature\Eir\RestructureDetectionWiringTest::test_the_detection_step_finds_and_never_confirms_and_the_bootstrap_line_counts_the_candidates</t>
        </is>
      </c>
    </row>
    <row r="22">
      <c r="A22" s="22" t="inlineStr">
        <is>
          <t>16(2)</t>
        </is>
      </c>
      <c r="B22" s="22" t="inlineStr">
        <is>
          <t>Single borrower or group limit of 25 percent of core capital</t>
        </is>
      </c>
      <c r="C22" s="22" t="inlineStr">
        <is>
          <t>Facilities to a single borrower or group of related borrowers shall not exceed 25 percent of core capital without the Registrar's prior approval.</t>
        </is>
      </c>
      <c r="D22" s="23" t="inlineStr">
        <is>
          <t>Outstanding</t>
        </is>
      </c>
      <c r="E22" s="22" t="inlineStr">
        <is>
          <t>Not built: core capital is not held in the system and borrowers are not grouped; the concentration report lists names over a typed amount only.</t>
        </is>
      </c>
      <c r="F22" s="22" t="inlineStr"/>
      <c r="G22" s="22" t="inlineStr">
        <is>
          <t>Outstanding: Finance supplies core capital each quarter; Dupleix adds the 25 percent test and the related-borrower grouping.</t>
        </is>
      </c>
      <c r="H22" s="22" t="inlineStr">
        <is>
          <t>Reports: Concentration and large exposures /ifrs9-reports/concentration</t>
        </is>
      </c>
      <c r="I22" s="22" t="inlineStr"/>
      <c r="J22" s="22" t="inlineStr"/>
      <c r="K22" s="22" t="inlineStr"/>
    </row>
    <row r="23">
      <c r="A23" s="22" t="inlineStr">
        <is>
          <t>16(3)</t>
        </is>
      </c>
      <c r="B23" s="22" t="inlineStr">
        <is>
          <t>No overdraft facilities</t>
        </is>
      </c>
      <c r="C23" s="22" t="inlineStr">
        <is>
          <t>An institution shall not extend any overdraft credit facilities.</t>
        </is>
      </c>
      <c r="D23" s="23" t="inlineStr">
        <is>
          <t>Not applicable, documented</t>
        </is>
      </c>
      <c r="E23" s="22" t="inlineStr">
        <is>
          <t>A lending restriction; the in-scope loan GLs (1050101 to 1050103, 1050201, 1050202, 1050401) are term-loan GLs and the system holds no overdraft product.</t>
        </is>
      </c>
      <c r="F23" s="22" t="inlineStr"/>
      <c r="G23" s="22" t="inlineStr">
        <is>
          <t>Not applicable, documented: no overdraft product in the book.</t>
        </is>
      </c>
      <c r="H23" s="22" t="inlineStr"/>
      <c r="I23" s="22" t="inlineStr"/>
      <c r="J23" s="22" t="inlineStr"/>
      <c r="K23" s="22" t="inlineStr"/>
    </row>
    <row r="24">
      <c r="A24" s="22" t="inlineStr">
        <is>
          <t>3 to 9</t>
        </is>
      </c>
      <c r="B24" s="22" t="inlineStr">
        <is>
          <t>Objectives; Board and executive duties; lending criteria; funding records; internal audit; independent risk function</t>
        </is>
      </c>
      <c r="C24" s="22" t="inlineStr">
        <is>
          <t>Board approval of facilities and policies, an analytical framework, MIS, a credit bureau report before lending, records of undisbursed lines, yearly internal audit of the portfolio, an independent risk function.</t>
        </is>
      </c>
      <c r="D24" s="23" t="inlineStr">
        <is>
          <t>Not applicable, documented</t>
        </is>
      </c>
      <c r="E24" s="22" t="inlineStr">
        <is>
          <t>Governance and lending-process duties of MAIIC; the system supplies the classified book, the reports and the audit trail that support them.</t>
        </is>
      </c>
      <c r="F24" s="22" t="inlineStr">
        <is>
          <t>Paragraphs 4(b)(vi), 4(b)(x) and 5(1)(b) are audited in their own rows.</t>
        </is>
      </c>
      <c r="G24" s="22" t="inlineStr">
        <is>
          <t>Not applicable, documented: policy and process, outside the system.</t>
        </is>
      </c>
      <c r="H24" s="22" t="inlineStr"/>
      <c r="I24" s="22" t="inlineStr"/>
      <c r="J24" s="22" t="inlineStr"/>
      <c r="K24" s="22" t="inlineStr"/>
    </row>
    <row r="25">
      <c r="A25" s="15" t="inlineStr">
        <is>
          <t>PART IV - ENFORCEMENT</t>
        </is>
      </c>
    </row>
    <row r="26">
      <c r="A26" s="22" t="inlineStr">
        <is>
          <t>17, 18</t>
        </is>
      </c>
      <c r="B26" s="22" t="inlineStr">
        <is>
          <t>Monetary and administrative penalties; auditor qualification</t>
        </is>
      </c>
      <c r="C26" s="22" t="inlineStr">
        <is>
          <t>The Registrar may impose penalties; an institution that fails to comply has its financial statements qualified by the external auditor.</t>
        </is>
      </c>
      <c r="D26" s="23" t="inlineStr">
        <is>
          <t>Not applicable, documented</t>
        </is>
      </c>
      <c r="E26" s="22" t="inlineStr">
        <is>
          <t>Enforcement provisions; nothing for the system to do.</t>
        </is>
      </c>
      <c r="F26" s="22" t="inlineStr"/>
      <c r="G26" s="22" t="inlineStr">
        <is>
          <t>Not applicable, documented.</t>
        </is>
      </c>
      <c r="H26" s="22" t="inlineStr"/>
      <c r="I26" s="22" t="inlineStr"/>
      <c r="J26" s="22" t="inlineStr"/>
      <c r="K26" s="22" t="inlineStr"/>
    </row>
  </sheetData>
  <autoFilter ref="A4:K26"/>
  <mergeCells count="4">
    <mergeCell ref="A2:K2"/>
    <mergeCell ref="A5:K5"/>
    <mergeCell ref="A7:K7"/>
    <mergeCell ref="A25:K25"/>
  </mergeCells>
  <conditionalFormatting sqref="D5:D26">
    <cfRule type="expression" priority="1" dxfId="0">
      <formula>$D5="Done"</formula>
    </cfRule>
    <cfRule type="expression" priority="2" dxfId="1">
      <formula>$D5="Partially done"</formula>
    </cfRule>
    <cfRule type="expression" priority="3" dxfId="2">
      <formula>$D5="Outstanding"</formula>
    </cfRule>
    <cfRule type="expression" priority="4" dxfId="3">
      <formula>$D5="Not applicable, documented"</formula>
    </cfRule>
    <cfRule type="expression" priority="5" dxfId="4">
      <formula>$D5="Evidence needed from MAIIC"</formula>
    </cfRule>
  </conditionalFormatting>
  <conditionalFormatting sqref="K5:K26">
    <cfRule type="expression" priority="6" dxfId="2">
      <formula>AND($D5="Done",$K5="")</formula>
    </cfRule>
  </conditionalFormatting>
  <dataValidations count="1">
    <dataValidation sqref="D5:D26" showDropDown="0" showInputMessage="0" showErrorMessage="0" allowBlank="1" type="list">
      <formula1>"Done,Partially done,Outstanding,Not applicable, documented,Evidence needed from MAIIC"</formula1>
    </dataValidation>
  </dataValidations>
  <hyperlinks>
    <hyperlink ref="A3" location="'Contents'!A1" display="Back to Contents"/>
  </hyperlinks>
  <pageMargins left="0.75" right="0.75" top="1" bottom="1" header="0.5" footer="0.5"/>
  <pageSetup orientation="landscape" fitToHeight="0" fitToWidth="1"/>
</worksheet>
</file>

<file path=xl/worksheets/sheet3.xml><?xml version="1.0" encoding="utf-8"?>
<worksheet xmlns="http://schemas.openxmlformats.org/spreadsheetml/2006/main">
  <sheetPr>
    <tabColor rgb="00C00000"/>
    <outlinePr summaryBelow="1" summaryRight="1"/>
    <pageSetUpPr fitToPage="1"/>
  </sheetPr>
  <dimension ref="A1:H11"/>
  <sheetViews>
    <sheetView showGridLines="0" workbookViewId="0">
      <pane ySplit="4" topLeftCell="A5" activePane="bottomLeft" state="frozen"/>
      <selection pane="bottomLeft" activeCell="A1" sqref="A1"/>
    </sheetView>
  </sheetViews>
  <sheetFormatPr baseColWidth="8" defaultRowHeight="15"/>
  <cols>
    <col width="6" customWidth="1" min="1" max="1"/>
    <col width="16" customWidth="1" min="2" max="2"/>
    <col width="30" customWidth="1" min="3" max="3"/>
    <col width="64" customWidth="1" min="4" max="4"/>
    <col width="40" customWidth="1" min="5" max="5"/>
    <col width="64" customWidth="1" min="6" max="6"/>
    <col width="26" customWidth="1" min="7" max="7"/>
    <col width="12" customWidth="1" min="8" max="8"/>
  </cols>
  <sheetData>
    <row r="1">
      <c r="A1" s="20" t="inlineStr">
        <is>
          <t>Findings - items that need a decision or a fix before this standard can be signed off</t>
        </is>
      </c>
    </row>
    <row r="2">
      <c r="A2" s="18" t="inlineStr">
        <is>
          <t>Back to Contents</t>
        </is>
      </c>
    </row>
    <row r="4">
      <c r="A4" s="14" t="inlineStr">
        <is>
          <t>No.</t>
        </is>
      </c>
      <c r="B4" s="14" t="inlineStr">
        <is>
          <t>Reference</t>
        </is>
      </c>
      <c r="C4" s="14" t="inlineStr">
        <is>
          <t>Finding</t>
        </is>
      </c>
      <c r="D4" s="14" t="inlineStr">
        <is>
          <t>What was found</t>
        </is>
      </c>
      <c r="E4" s="14" t="inlineStr">
        <is>
          <t>Impact</t>
        </is>
      </c>
      <c r="F4" s="14" t="inlineStr">
        <is>
          <t>Recommended action</t>
        </is>
      </c>
      <c r="G4" s="14" t="inlineStr">
        <is>
          <t>Owner</t>
        </is>
      </c>
      <c r="H4" s="14" t="inlineStr">
        <is>
          <t>Status</t>
        </is>
      </c>
    </row>
    <row r="5">
      <c r="A5" s="22" t="inlineStr">
        <is>
          <t>F1</t>
        </is>
      </c>
      <c r="B5" s="24" t="inlineStr">
        <is>
          <t>16(1)</t>
        </is>
      </c>
      <c r="C5" s="22" t="inlineStr">
        <is>
          <t>No restructure register</t>
        </is>
      </c>
      <c r="D5" s="22" t="inlineStr">
        <is>
          <t>E-Banker's reschedule history (RS_02a to RS_02g) landed on 12 October 2026 and was read only for the instalment chart in force; no register of restructures with their Board approval existed and section D of the Return was null. Status 14 October 2026: built and wired (uncommitted in the working tree): the register with maker-checker and the Board approval reference, the detector in the bootstrap and the month-end (detection only), and section D listing the confirmed restructures with their Board approval. On the scratch clone 70 candidates await classification.</t>
        </is>
      </c>
      <c r="E5" s="22" t="inlineStr">
        <is>
          <t>Until the candidates are classified the Return reports no restructured facility.</t>
        </is>
      </c>
      <c r="F5" s="22" t="inlineStr">
        <is>
          <t>Credit classifies the candidates; MAIIC records the Board approval of each restructure it confirms.</t>
        </is>
      </c>
      <c r="G5" s="22" t="inlineStr">
        <is>
          <t>Credit / MAIIC</t>
        </is>
      </c>
      <c r="H5" s="22" t="inlineStr">
        <is>
          <t>In progress</t>
        </is>
      </c>
    </row>
    <row r="6">
      <c r="A6" s="22" t="inlineStr">
        <is>
          <t>F2</t>
        </is>
      </c>
      <c r="B6" s="24" t="inlineStr">
        <is>
          <t>15(3)</t>
        </is>
      </c>
      <c r="C6" s="22" t="inlineStr">
        <is>
          <t>The prescribed call report form is not in the repository</t>
        </is>
      </c>
      <c r="D6" s="22" t="inlineStr">
        <is>
          <t>The provisional return fills every line in the directive's order; the Registrar's own form has not been supplied, the loan loss reserve has no line, and the headings cite wrong paragraphs (sections 9 to 11, 12, 15, 17). Status 14 October 2026: the citations are corrected (10 and 11, 12, 13, 14 and the Schedule, 15, 16(1), 15(3)) and the reserve line added; the form is still awaited.</t>
        </is>
      </c>
      <c r="E6" s="22" t="inlineStr">
        <is>
          <t>The return is still transcribed by hand.</t>
        </is>
      </c>
      <c r="F6" s="22" t="inlineStr">
        <is>
          <t>MAIIC Risk supplies the current form; Dupleix re-orders and re-words the lines to it.</t>
        </is>
      </c>
      <c r="G6" s="22" t="inlineStr">
        <is>
          <t>MAIIC Risk / Dupleix</t>
        </is>
      </c>
      <c r="H6" s="22" t="inlineStr">
        <is>
          <t>Open</t>
        </is>
      </c>
    </row>
    <row r="7">
      <c r="A7" s="22" t="inlineStr">
        <is>
          <t>F3</t>
        </is>
      </c>
      <c r="B7" s="24" t="inlineStr">
        <is>
          <t>10</t>
        </is>
      </c>
      <c r="C7" s="22" t="inlineStr">
        <is>
          <t>The RBM Classification report's day bands differed from the directive's</t>
        </is>
      </c>
      <c r="D7" s="22" t="inlineStr">
        <is>
          <t>The older report classified every facility on one ladder (90, 180, 365 days). On 9 October 2026 the report, the provision comparison and the arrears ageing were put on one rule with the RBM Return, and the medium- and long-term bands were corrected to the Gazette's paragraph 10 (90/180/365/746), with a test at every boundary on both terms.</t>
        </is>
      </c>
      <c r="E7" s="22" t="inlineStr">
        <is>
          <t>None remaining.</t>
        </is>
      </c>
      <c r="F7" s="22" t="inlineStr">
        <is>
          <t>Done.</t>
        </is>
      </c>
      <c r="G7" s="22" t="inlineStr">
        <is>
          <t>Dupleix</t>
        </is>
      </c>
      <c r="H7" s="22" t="inlineStr">
        <is>
          <t>Closed</t>
        </is>
      </c>
    </row>
    <row r="8">
      <c r="A8" s="22" t="inlineStr">
        <is>
          <t>F4</t>
        </is>
      </c>
      <c r="B8" s="24" t="inlineStr">
        <is>
          <t>12, 13(3)</t>
        </is>
      </c>
      <c r="C8" s="22" t="inlineStr">
        <is>
          <t>Loss-age write-off and restoration to accrual are not built</t>
        </is>
      </c>
      <c r="D8" s="22" t="inlineStr">
        <is>
          <t>No loss-since date exists, so the paragraph 12 write-off deadline cannot be shown (10 loss facilities of 1,511.0m at September 2026 on the fresh bootstrap); a facility returns to accrual when its days fall, not when its arrears are paid. Status 14 October 2026: paragraph 12 is built (loss since, age, write-off quarter, status; 7 of the 10 overdue); 13(3) is not.</t>
        </is>
      </c>
      <c r="E8" s="22" t="inlineStr">
        <is>
          <t>The Return can restore accrual too early.</t>
        </is>
      </c>
      <c r="F8" s="22" t="inlineStr">
        <is>
          <t>Dupleix adds an arrears-nil condition before restoration; Credit and Finance act on the 7 overdue loss facilities.</t>
        </is>
      </c>
      <c r="G8" s="22" t="inlineStr">
        <is>
          <t>Dupleix / Credit</t>
        </is>
      </c>
      <c r="H8" s="22" t="inlineStr">
        <is>
          <t>In progress</t>
        </is>
      </c>
    </row>
    <row r="9">
      <c r="A9" s="22" t="inlineStr">
        <is>
          <t>F5</t>
        </is>
      </c>
      <c r="B9" s="24" t="inlineStr">
        <is>
          <t>13(1)</t>
        </is>
      </c>
      <c r="C9" s="22" t="inlineStr">
        <is>
          <t>Interest in suspense is not the directive's measure</t>
        </is>
      </c>
      <c r="D9" s="22" t="inlineStr">
        <is>
          <t>Section C is one period's posted contractual interest less EIR interest; GL 1320 is not read and nothing is on the cash basis. Status 14 October 2026: the cumulative interest charged since each facility became non-performing is computed and set against GL 1320; the cash-basis split is a named gap and the trial balances carry no 1320 line from March 2026.</t>
        </is>
      </c>
      <c r="E9" s="22" t="inlineStr">
        <is>
          <t>The suspense on the Return does not yet tie to a posted suspense balance.</t>
        </is>
      </c>
      <c r="F9" s="22" t="inlineStr">
        <is>
          <t>Finance posts (or confirms) interest suspense on GL 1320; the cash received is split between principal and interest (allocation rule from Finance) so the cash-basis income can be deducted.</t>
        </is>
      </c>
      <c r="G9" s="22" t="inlineStr">
        <is>
          <t>Finance / Dupleix</t>
        </is>
      </c>
      <c r="H9" s="22" t="inlineStr">
        <is>
          <t>In progress</t>
        </is>
      </c>
    </row>
    <row r="10">
      <c r="A10" s="22" t="inlineStr">
        <is>
          <t>F6</t>
        </is>
      </c>
      <c r="B10" s="24" t="inlineStr">
        <is>
          <t>11(3), 16(2)</t>
        </is>
      </c>
      <c r="C10" s="22" t="inlineStr">
        <is>
          <t>Large exposures and the 25 percent limit need core capital</t>
        </is>
      </c>
      <c r="D10" s="22" t="inlineStr">
        <is>
          <t>The concentration report uses a typed threshold; core capital and related-borrower groups are not held.</t>
        </is>
      </c>
      <c r="E10" s="22" t="inlineStr">
        <is>
          <t>The 10 percent large-exposure review and the 25 percent limit cannot be shown.</t>
        </is>
      </c>
      <c r="F10" s="22" t="inlineStr">
        <is>
          <t>Finance supplies core capital quarterly; Dupleix adds the two tests and borrower grouping.</t>
        </is>
      </c>
      <c r="G10" s="22" t="inlineStr">
        <is>
          <t>Finance / Dupleix</t>
        </is>
      </c>
      <c r="H10" s="22" t="inlineStr">
        <is>
          <t>Open</t>
        </is>
      </c>
    </row>
    <row r="11">
      <c r="A11" s="22" t="inlineStr">
        <is>
          <t>F7</t>
        </is>
      </c>
      <c r="B11" s="24" t="inlineStr">
        <is>
          <t>14 and Schedule</t>
        </is>
      </c>
      <c r="C11" s="22" t="inlineStr">
        <is>
          <t>Two bases for the minimum provision</t>
        </is>
      </c>
      <c r="D11" s="22" t="inlineStr">
        <is>
          <t>The Return applies the rates to the gross carrying amount, the Provision Comparison report to EAD; an unused helper holds wrong rates. Status 14 October 2026: done, both on the gross carrying amount; the helper is deleted.</t>
        </is>
      </c>
      <c r="E11" s="22" t="inlineStr">
        <is>
          <t>None remaining.</t>
        </is>
      </c>
      <c r="F11" s="22" t="inlineStr">
        <is>
          <t>Done.</t>
        </is>
      </c>
      <c r="G11" s="22" t="inlineStr">
        <is>
          <t>Dupleix</t>
        </is>
      </c>
      <c r="H11" s="22" t="inlineStr">
        <is>
          <t>Closed</t>
        </is>
      </c>
    </row>
  </sheetData>
  <dataValidations count="1">
    <dataValidation sqref="H5:H11" showDropDown="0" showInputMessage="0" showErrorMessage="0" allowBlank="1" type="list">
      <formula1>"Open,In progress,Closed,Deferred"</formula1>
    </dataValidation>
  </dataValidations>
  <hyperlinks>
    <hyperlink ref="A2" location="'Contents'!A1" display="Back to Contents"/>
    <hyperlink ref="B5" location="'Audit'!A21" display="16(1)"/>
    <hyperlink ref="B6" location="'Audit'!A20" display="15(3)"/>
    <hyperlink ref="B7" location="'Audit'!A10" display="10"/>
    <hyperlink ref="B8" location="'Audit'!A13" display="12, 13(3)"/>
    <hyperlink ref="B9" location="'Audit'!A14" display="13(1)"/>
    <hyperlink ref="B10" location="'Audit'!A12" display="11(3), 16(2)"/>
    <hyperlink ref="B11" location="'Audit'!A17" display="14 and Schedule"/>
  </hyperlinks>
  <pageMargins left="0.75" right="0.75" top="1" bottom="1" header="0.5" footer="0.5"/>
  <pageSetup orientation="landscape" fitToHeight="0" fitToWidth="1"/>
</worksheet>
</file>

<file path=xl/worksheets/sheet4.xml><?xml version="1.0" encoding="utf-8"?>
<worksheet xmlns="http://schemas.openxmlformats.org/spreadsheetml/2006/main">
  <sheetPr>
    <tabColor rgb="002E75B6"/>
    <outlinePr summaryBelow="1" summaryRight="1"/>
    <pageSetUpPr fitToPage="1"/>
  </sheetPr>
  <dimension ref="A1:F68"/>
  <sheetViews>
    <sheetView showGridLines="0" workbookViewId="0">
      <pane ySplit="4" topLeftCell="A5" activePane="bottomLeft" state="frozen"/>
      <selection pane="bottomLeft" activeCell="A1" sqref="A1"/>
    </sheetView>
  </sheetViews>
  <sheetFormatPr baseColWidth="8" defaultRowHeight="15"/>
  <cols>
    <col width="64" customWidth="1" min="1" max="1"/>
    <col width="22" customWidth="1" min="2" max="2"/>
    <col width="24" customWidth="1" min="3" max="3"/>
    <col width="12" customWidth="1" min="4" max="4"/>
    <col width="10" customWidth="1" min="5" max="5"/>
    <col width="50" customWidth="1" min="6" max="6"/>
  </cols>
  <sheetData>
    <row r="1">
      <c r="A1" s="20" t="inlineStr">
        <is>
          <t>Baselines - the acceptance ties of specification section 9, read from the system at generation</t>
        </is>
      </c>
    </row>
    <row r="2">
      <c r="A2" s="18" t="inlineStr">
        <is>
          <t>Back to Contents</t>
        </is>
      </c>
    </row>
    <row r="3">
      <c r="A3" s="2" t="inlineStr">
        <is>
          <t>Generated 2026-10-14 10:44:41 from maiic_ifrs9_wire. The PASS/FAIL in column E is a formula on columns B and C, so it recomputes if a figure is typed over.</t>
        </is>
      </c>
    </row>
    <row r="4">
      <c r="A4" s="14" t="inlineStr">
        <is>
          <t>Tie</t>
        </is>
      </c>
      <c r="B4" s="14" t="inlineStr">
        <is>
          <t>Expected</t>
        </is>
      </c>
      <c r="C4" s="14" t="inlineStr">
        <is>
          <t>System figure at generation</t>
        </is>
      </c>
      <c r="D4" s="14" t="inlineStr">
        <is>
          <t>Tolerance</t>
        </is>
      </c>
      <c r="E4" s="14" t="inlineStr">
        <is>
          <t>Result</t>
        </is>
      </c>
      <c r="F4" s="14" t="inlineStr">
        <is>
          <t>Note</t>
        </is>
      </c>
    </row>
    <row r="5">
      <c r="A5" s="22" t="inlineStr">
        <is>
          <t>Interest posted Jan 2025 to Jul 2026 (ledger, types 303 and 120)</t>
        </is>
      </c>
      <c r="B5" s="25" t="n">
        <v>5293988207.06</v>
      </c>
      <c r="C5" s="25" t="n">
        <v>5293988207.06</v>
      </c>
      <c r="D5" s="22" t="n">
        <v>1</v>
      </c>
      <c r="E5" s="26">
        <f>IF(ABS(B5-C5)&lt;=D5,"PASS","FAIL")</f>
        <v/>
      </c>
      <c r="F5" s="22" t="inlineStr"/>
    </row>
    <row r="6">
      <c r="A6" s="22" t="inlineStr">
        <is>
          <t>Derived carrying amount against the stored report, in-scope loan GLs (over 2 cents)</t>
        </is>
      </c>
      <c r="B6" s="22" t="inlineStr">
        <is>
          <t>0 differences</t>
        </is>
      </c>
      <c r="C6" s="22" t="inlineStr">
        <is>
          <t>0 of 2495 account-months</t>
        </is>
      </c>
      <c r="D6" s="22" t="n">
        <v>0.01</v>
      </c>
      <c r="E6" s="26">
        <f>IF(B6=C6,"PASS","FAIL")</f>
        <v/>
      </c>
      <c r="F6" s="22" t="inlineStr"/>
    </row>
    <row r="7">
      <c r="A7" s="22" t="inlineStr">
        <is>
          <t>Mega Farm: account-months whose MF_03 ledger differs from the Loan Book Report (reported, not a test)</t>
        </is>
      </c>
      <c r="B7" s="22" t="inlineStr">
        <is>
          <t>reported</t>
        </is>
      </c>
      <c r="C7" s="22" t="inlineStr">
        <is>
          <t>77540 account-months</t>
        </is>
      </c>
      <c r="D7" s="22" t="n">
        <v>0.01</v>
      </c>
      <c r="E7" s="26">
        <f>IF(B7=C7,"PASS","FAIL")</f>
        <v/>
      </c>
      <c r="F7" s="22" t="inlineStr"/>
    </row>
    <row r="8">
      <c r="A8" s="22" t="inlineStr">
        <is>
          <t>Year-end interest batch contra on 4215</t>
        </is>
      </c>
      <c r="B8" s="25" t="n">
        <v>32956675.55</v>
      </c>
      <c r="C8" s="25" t="n">
        <v>32956675.55</v>
      </c>
      <c r="D8" s="22" t="n">
        <v>1</v>
      </c>
      <c r="E8" s="26">
        <f>IF(ABS(B8-C8)&lt;=D8,"PASS","FAIL")</f>
        <v/>
      </c>
      <c r="F8" s="22" t="inlineStr"/>
    </row>
    <row r="9">
      <c r="A9" s="22" t="inlineStr">
        <is>
          <t>Year-end interest batch contra on 4216</t>
        </is>
      </c>
      <c r="B9" s="25" t="n">
        <v>-21733262.7</v>
      </c>
      <c r="C9" s="25" t="n">
        <v>-21733262.7</v>
      </c>
      <c r="D9" s="22" t="n">
        <v>0.01</v>
      </c>
      <c r="E9" s="26">
        <f>IF(ABS(B9-C9)&lt;=D9,"PASS","FAIL")</f>
        <v/>
      </c>
      <c r="F9" s="22" t="inlineStr"/>
    </row>
    <row r="10">
      <c r="A10" s="22" t="inlineStr">
        <is>
          <t>Loan book 1050101 at 31 Dec 2025 against the trial balance</t>
        </is>
      </c>
      <c r="B10" s="25" t="n">
        <v>1368737810.68</v>
      </c>
      <c r="C10" s="25" t="n">
        <v>1368737810.68</v>
      </c>
      <c r="D10" s="22" t="n">
        <v>1</v>
      </c>
      <c r="E10" s="26">
        <f>IF(ABS(B10-C10)&lt;=D10,"PASS","FAIL")</f>
        <v/>
      </c>
      <c r="F10" s="22" t="inlineStr"/>
    </row>
    <row r="11">
      <c r="A11" s="22" t="inlineStr">
        <is>
          <t>Loan book 1050102 at 31 Dec 2025 against the trial balance</t>
        </is>
      </c>
      <c r="B11" s="25" t="n">
        <v>6434045052.56</v>
      </c>
      <c r="C11" s="25" t="n">
        <v>6434045052.56</v>
      </c>
      <c r="D11" s="22" t="n">
        <v>1</v>
      </c>
      <c r="E11" s="26">
        <f>IF(ABS(B11-C11)&lt;=D11,"PASS","FAIL")</f>
        <v/>
      </c>
      <c r="F11" s="22" t="inlineStr"/>
    </row>
    <row r="12">
      <c r="A12" s="22" t="inlineStr">
        <is>
          <t>Loan book 1050201 at 31 Dec 2025 against the trial balance (accepted exception, spec 3.5: -400,000.00)</t>
        </is>
      </c>
      <c r="B12" s="25" t="n">
        <v>1402393139.46</v>
      </c>
      <c r="C12" s="25" t="n">
        <v>1401993139.46</v>
      </c>
      <c r="D12" s="22" t="n">
        <v>1</v>
      </c>
      <c r="E12" s="26">
        <f>IF(ABS(B12-C12)&lt;=D12,"PASS","FAIL")</f>
        <v/>
      </c>
      <c r="F12" s="22" t="inlineStr"/>
    </row>
    <row r="13">
      <c r="A13" s="22" t="inlineStr">
        <is>
          <t>Loan book 1050202 at 31 Dec 2025 against the trial balance (accepted exception, spec 3.5: 1,000,000.00)</t>
        </is>
      </c>
      <c r="B13" s="25" t="n">
        <v>3808288656.15</v>
      </c>
      <c r="C13" s="25" t="n">
        <v>3809288656.15</v>
      </c>
      <c r="D13" s="22" t="n">
        <v>1</v>
      </c>
      <c r="E13" s="26">
        <f>IF(ABS(B13-C13)&lt;=D13,"PASS","FAIL")</f>
        <v/>
      </c>
      <c r="F13" s="22" t="inlineStr"/>
    </row>
    <row r="14">
      <c r="A14" s="22" t="inlineStr">
        <is>
          <t>Loan book 1050401 at 31 Dec 2025 against the trial balance</t>
        </is>
      </c>
      <c r="B14" s="25" t="n">
        <v>1827148120.69</v>
      </c>
      <c r="C14" s="25" t="n">
        <v>1827148120.69</v>
      </c>
      <c r="D14" s="22" t="n">
        <v>1</v>
      </c>
      <c r="E14" s="26">
        <f>IF(ABS(B14-C14)&lt;=D14,"PASS","FAIL")</f>
        <v/>
      </c>
      <c r="F14" s="22" t="inlineStr"/>
    </row>
    <row r="15">
      <c r="A15" s="22" t="inlineStr">
        <is>
          <t>Pack inventory: ebanker-pack-2026-10-09: every file as committed and landed with its manifest rows and SHA-256; 13 received files not landed, each with its reason in the manifest</t>
        </is>
      </c>
      <c r="B15" s="22" t="inlineStr">
        <is>
          <t>12 extracts, 111,513 rows</t>
        </is>
      </c>
      <c r="C15" s="22" t="inlineStr">
        <is>
          <t>12 extracts, 111,513 rows</t>
        </is>
      </c>
      <c r="D15" s="22" t="n">
        <v>0.01</v>
      </c>
      <c r="E15" s="26">
        <f>IF(B15=C15,"PASS","FAIL")</f>
        <v/>
      </c>
      <c r="F15" s="22" t="inlineStr"/>
    </row>
    <row r="16">
      <c r="A16" s="22" t="inlineStr">
        <is>
          <t>Pack inventory: ebanker-pack-2026-10-12: every file as committed and landed with its manifest rows and SHA-256; 2 received files not landed, each with its reason in the manifest</t>
        </is>
      </c>
      <c r="B16" s="22" t="inlineStr">
        <is>
          <t>39 extracts, 511,785 rows</t>
        </is>
      </c>
      <c r="C16" s="22" t="inlineStr">
        <is>
          <t>39 extracts, 511,785 rows</t>
        </is>
      </c>
      <c r="D16" s="22" t="n">
        <v>0.01</v>
      </c>
      <c r="E16" s="26">
        <f>IF(B16=C16,"PASS","FAIL")</f>
        <v/>
      </c>
      <c r="F16" s="22" t="inlineStr"/>
    </row>
    <row r="17">
      <c r="A17" s="22" t="inlineStr">
        <is>
          <t>Pack inventory: ebanker-pack-2026-10-12-p5: every file as committed and landed with its manifest rows and SHA-256; 1 received files not landed, each with its reason in the manifest</t>
        </is>
      </c>
      <c r="B17" s="22" t="inlineStr">
        <is>
          <t>8 extracts, 470 rows</t>
        </is>
      </c>
      <c r="C17" s="22" t="inlineStr">
        <is>
          <t>8 extracts, 470 rows</t>
        </is>
      </c>
      <c r="D17" s="22" t="n">
        <v>0.01</v>
      </c>
      <c r="E17" s="26">
        <f>IF(B17=C17,"PASS","FAIL")</f>
        <v/>
      </c>
      <c r="F17" s="22" t="inlineStr"/>
    </row>
    <row r="18">
      <c r="A18" s="22" t="inlineStr">
        <is>
          <t>Pack inventory: ebanker-pack-2026-10-12-p6: every file as committed and landed with its manifest rows and SHA-256; 0 received files not landed, each with its reason in the manifest</t>
        </is>
      </c>
      <c r="B18" s="22" t="inlineStr">
        <is>
          <t>3 extracts, 236 rows</t>
        </is>
      </c>
      <c r="C18" s="22" t="inlineStr">
        <is>
          <t>3 extracts, 236 rows</t>
        </is>
      </c>
      <c r="D18" s="22" t="n">
        <v>0.01</v>
      </c>
      <c r="E18" s="26">
        <f>IF(B18=C18,"PASS","FAIL")</f>
        <v/>
      </c>
      <c r="F18" s="22" t="inlineStr"/>
    </row>
    <row r="19">
      <c r="A19" s="22" t="inlineStr">
        <is>
          <t>Pack inventory: ebanker-pack-2026-10-13-p7: every file as committed and landed with its manifest rows and SHA-256; 0 received files not landed, each with its reason in the manifest</t>
        </is>
      </c>
      <c r="B19" s="22" t="inlineStr">
        <is>
          <t>6 extracts, 32,244 rows</t>
        </is>
      </c>
      <c r="C19" s="22" t="inlineStr">
        <is>
          <t>6 extracts, 32,244 rows</t>
        </is>
      </c>
      <c r="D19" s="22" t="n">
        <v>0.01</v>
      </c>
      <c r="E19" s="26">
        <f>IF(B19=C19,"PASS","FAIL")</f>
        <v/>
      </c>
      <c r="F19" s="22" t="inlineStr"/>
    </row>
    <row r="20">
      <c r="A20" s="22" t="inlineStr">
        <is>
          <t>Pack inventory: ebanker-pack-2026-10-13-p8: every file as committed and landed with its manifest rows and SHA-256; 6 received files not landed, each with its reason in the manifest</t>
        </is>
      </c>
      <c r="B20" s="22" t="inlineStr">
        <is>
          <t>4 extracts, 103 rows</t>
        </is>
      </c>
      <c r="C20" s="22" t="inlineStr">
        <is>
          <t>4 extracts, 103 rows</t>
        </is>
      </c>
      <c r="D20" s="22" t="n">
        <v>0.01</v>
      </c>
      <c r="E20" s="26">
        <f>IF(B20=C20,"PASS","FAIL")</f>
        <v/>
      </c>
      <c r="F20" s="22" t="inlineStr"/>
    </row>
    <row r="21">
      <c r="A21" s="22" t="inlineStr">
        <is>
          <t>Pack inventory: ebanker-pack-2026-10-14: every file as committed and landed with its manifest rows and SHA-256; 13 received files not landed, each with its reason in the manifest</t>
        </is>
      </c>
      <c r="B21" s="22" t="inlineStr">
        <is>
          <t>2 extracts, 426 rows</t>
        </is>
      </c>
      <c r="C21" s="22" t="inlineStr">
        <is>
          <t>2 extracts, 426 rows</t>
        </is>
      </c>
      <c r="D21" s="22" t="n">
        <v>0.01</v>
      </c>
      <c r="E21" s="26">
        <f>IF(B21=C21,"PASS","FAIL")</f>
        <v/>
      </c>
      <c r="F21" s="22" t="inlineStr"/>
    </row>
    <row r="22">
      <c r="A22" s="22" t="inlineStr">
        <is>
          <t>Pack inventory: manifest.json (packs 1 and 2, data dictionary, trial balances, take-on): every file as committed and landed with its manifest rows and SHA-256; 3 received files not landed, each with its reason in the manifest; 30 workbooks and scripts, 23 landed by the bootstrap</t>
        </is>
      </c>
      <c r="B22" s="22" t="inlineStr">
        <is>
          <t>54 extracts, 85,174 rows, 23 workbooks</t>
        </is>
      </c>
      <c r="C22" s="22" t="inlineStr">
        <is>
          <t>54 extracts, 85,174 rows, 23 workbooks</t>
        </is>
      </c>
      <c r="D22" s="22" t="n">
        <v>0.01</v>
      </c>
      <c r="E22" s="26">
        <f>IF(B22=C22,"PASS","FAIL")</f>
        <v/>
      </c>
      <c r="F22" s="22" t="inlineStr"/>
    </row>
    <row r="23">
      <c r="A23" s="22" t="inlineStr">
        <is>
          <t>Take-on worksheet (CV_10) against the take-on postings of 31 Jul 2024: term loans on the worksheet with take-on postings</t>
        </is>
      </c>
      <c r="B23" s="25" t="n">
        <v>77</v>
      </c>
      <c r="C23" s="25" t="n">
        <v>77</v>
      </c>
      <c r="D23" s="22" t="n">
        <v>0.01</v>
      </c>
      <c r="E23" s="26">
        <f>IF(ABS(B23-C23)&lt;=D23,"PASS","FAIL")</f>
        <v/>
      </c>
      <c r="F23" s="22" t="inlineStr"/>
    </row>
    <row r="24">
      <c r="A24" s="22" t="inlineStr">
        <is>
          <t>Take-on worksheet (CV_10) against the take-on postings of 31 Jul 2024: loans whose principal taken on (301) = NEWDISBURS_AMT, to the cent</t>
        </is>
      </c>
      <c r="B24" s="25" t="n">
        <v>76</v>
      </c>
      <c r="C24" s="25" t="n">
        <v>76</v>
      </c>
      <c r="D24" s="22" t="n">
        <v>0.01</v>
      </c>
      <c r="E24" s="26">
        <f>IF(ABS(B24-C24)&lt;=D24,"PASS","FAIL")</f>
        <v/>
      </c>
      <c r="F24" s="22" t="inlineStr"/>
    </row>
    <row r="25">
      <c r="A25" s="22" t="inlineStr">
        <is>
          <t>Take-on worksheet (CV_10) against the take-on postings of 31 Jul 2024: loans whose opening interest (303) = TOTAL_INT_CHARG, to the cent</t>
        </is>
      </c>
      <c r="B25" s="25" t="n">
        <v>76</v>
      </c>
      <c r="C25" s="25" t="n">
        <v>76</v>
      </c>
      <c r="D25" s="22" t="n">
        <v>0.01</v>
      </c>
      <c r="E25" s="26">
        <f>IF(ABS(B25-C25)&lt;=D25,"PASS","FAIL")</f>
        <v/>
      </c>
      <c r="F25" s="22" t="inlineStr"/>
    </row>
    <row r="26">
      <c r="A26" s="22" t="inlineStr">
        <is>
          <t>Take-on worksheet (CV_10) against the take-on postings of 31 Jul 2024: loans whose opening recoveries (305) = TOTA_REPAY_UPTO, to the cent</t>
        </is>
      </c>
      <c r="B26" s="25" t="n">
        <v>72</v>
      </c>
      <c r="C26" s="25" t="n">
        <v>72</v>
      </c>
      <c r="D26" s="22" t="n">
        <v>0.01</v>
      </c>
      <c r="E26" s="26">
        <f>IF(ABS(B26-C26)&lt;=D26,"PASS","FAIL")</f>
        <v/>
      </c>
      <c r="F26" s="22" t="inlineStr"/>
    </row>
    <row r="27">
      <c r="A27" s="22" t="inlineStr">
        <is>
          <t>Ledger copy CUMVOUCH_BK240824 (CV_04a) to 31 Dec 2023 against the GL opening balances of 1 Jan 2024 (CV_14), 4 loan GLs: sum of the differences</t>
        </is>
      </c>
      <c r="B27" s="25" t="n">
        <v>0.5</v>
      </c>
      <c r="C27" s="25" t="n">
        <v>0.5</v>
      </c>
      <c r="D27" s="22" t="n">
        <v>0.01</v>
      </c>
      <c r="E27" s="26">
        <f>IF(ABS(B27-C27)&lt;=D27,"PASS","FAIL")</f>
        <v/>
      </c>
      <c r="F27" s="22" t="inlineStr"/>
    </row>
    <row r="28">
      <c r="A28" s="22" t="inlineStr">
        <is>
          <t>Loan book 2025-12, MAIIC's loan GLs: carrying amount</t>
        </is>
      </c>
      <c r="B28" s="22" t="inlineStr">
        <is>
          <t>no golden value committed (book_2025-12_maiic_amount)</t>
        </is>
      </c>
      <c r="C28" s="25" t="n">
        <v>14841212779.54</v>
      </c>
      <c r="D28" s="22" t="n">
        <v>0.01</v>
      </c>
      <c r="E28" s="26">
        <f>IF(B28=C28,"PASS","FAIL")</f>
        <v/>
      </c>
      <c r="F28" s="22" t="inlineStr">
        <is>
          <t>the bootstrap's verify reports this row</t>
        </is>
      </c>
    </row>
    <row r="29">
      <c r="A29" s="22" t="inlineStr">
        <is>
          <t>Loan book 2025-12, MAIIC's loan GLs: rows</t>
        </is>
      </c>
      <c r="B29" s="22" t="inlineStr">
        <is>
          <t>no golden value committed (book_2025-12_maiic_loans)</t>
        </is>
      </c>
      <c r="C29" s="25" t="n">
        <v>123</v>
      </c>
      <c r="D29" s="22" t="n">
        <v>0.01</v>
      </c>
      <c r="E29" s="26">
        <f>IF(B29=C29,"PASS","FAIL")</f>
        <v/>
      </c>
      <c r="F29" s="22" t="inlineStr">
        <is>
          <t>the bootstrap's verify reports this row</t>
        </is>
      </c>
    </row>
    <row r="30">
      <c r="A30" s="22" t="inlineStr">
        <is>
          <t>Loan book 2025-12, Mega Farm programme GLs: carrying amount</t>
        </is>
      </c>
      <c r="B30" s="22" t="inlineStr">
        <is>
          <t>no golden value committed (book_2025-12_megafarm_amount)</t>
        </is>
      </c>
      <c r="C30" s="25" t="n">
        <v>54498560819.6</v>
      </c>
      <c r="D30" s="22" t="n">
        <v>0.01</v>
      </c>
      <c r="E30" s="26">
        <f>IF(B30=C30,"PASS","FAIL")</f>
        <v/>
      </c>
      <c r="F30" s="22" t="inlineStr">
        <is>
          <t>the bootstrap's verify reports this row</t>
        </is>
      </c>
    </row>
    <row r="31">
      <c r="A31" s="22" t="inlineStr">
        <is>
          <t>Loan book 2025-12, Mega Farm programme GLs: accounts with a balance</t>
        </is>
      </c>
      <c r="B31" s="22" t="inlineStr">
        <is>
          <t>no golden value committed (book_2025-12_megafarm_accounts)</t>
        </is>
      </c>
      <c r="C31" s="25" t="n">
        <v>3671</v>
      </c>
      <c r="D31" s="22" t="n">
        <v>0.01</v>
      </c>
      <c r="E31" s="26">
        <f>IF(B31=C31,"PASS","FAIL")</f>
        <v/>
      </c>
      <c r="F31" s="22" t="inlineStr">
        <is>
          <t>the bootstrap's verify reports this row</t>
        </is>
      </c>
    </row>
    <row r="32">
      <c r="A32" s="22" t="inlineStr">
        <is>
          <t>Loan book 2026-09, MAIIC's loan GLs: carrying amount</t>
        </is>
      </c>
      <c r="B32" s="22" t="inlineStr">
        <is>
          <t>no golden value committed (book_2026-09_maiic_amount)</t>
        </is>
      </c>
      <c r="C32" s="25" t="n">
        <v>23189580235.43</v>
      </c>
      <c r="D32" s="22" t="n">
        <v>0.01</v>
      </c>
      <c r="E32" s="26">
        <f>IF(B32=C32,"PASS","FAIL")</f>
        <v/>
      </c>
      <c r="F32" s="22" t="inlineStr">
        <is>
          <t>the bootstrap's verify reports this row</t>
        </is>
      </c>
    </row>
    <row r="33">
      <c r="A33" s="22" t="inlineStr">
        <is>
          <t>Loan book 2026-09, MAIIC's loan GLs: rows</t>
        </is>
      </c>
      <c r="B33" s="22" t="inlineStr">
        <is>
          <t>no golden value committed (book_2026-09_maiic_loans)</t>
        </is>
      </c>
      <c r="C33" s="25" t="n">
        <v>134</v>
      </c>
      <c r="D33" s="22" t="n">
        <v>0.01</v>
      </c>
      <c r="E33" s="26">
        <f>IF(B33=C33,"PASS","FAIL")</f>
        <v/>
      </c>
      <c r="F33" s="22" t="inlineStr">
        <is>
          <t>the bootstrap's verify reports this row</t>
        </is>
      </c>
    </row>
    <row r="34">
      <c r="A34" s="22" t="inlineStr">
        <is>
          <t>Loan book 2026-09, Mega Farm programme GLs: carrying amount</t>
        </is>
      </c>
      <c r="B34" s="22" t="inlineStr">
        <is>
          <t>no golden value committed (book_2026-09_megafarm_amount)</t>
        </is>
      </c>
      <c r="C34" s="25" t="n">
        <v>56180761113.43</v>
      </c>
      <c r="D34" s="22" t="n">
        <v>0.01</v>
      </c>
      <c r="E34" s="26">
        <f>IF(B34=C34,"PASS","FAIL")</f>
        <v/>
      </c>
      <c r="F34" s="22" t="inlineStr">
        <is>
          <t>the bootstrap's verify reports this row</t>
        </is>
      </c>
    </row>
    <row r="35">
      <c r="A35" s="22" t="inlineStr">
        <is>
          <t>Loan book 2026-09, Mega Farm programme GLs: accounts with a balance</t>
        </is>
      </c>
      <c r="B35" s="22" t="inlineStr">
        <is>
          <t>no golden value committed (book_2026-09_megafarm_accounts)</t>
        </is>
      </c>
      <c r="C35" s="25" t="n">
        <v>3618</v>
      </c>
      <c r="D35" s="22" t="n">
        <v>0.01</v>
      </c>
      <c r="E35" s="26">
        <f>IF(B35=C35,"PASS","FAIL")</f>
        <v/>
      </c>
      <c r="F35" s="22" t="inlineStr">
        <is>
          <t>the bootstrap's verify reports this row</t>
        </is>
      </c>
    </row>
    <row r="36">
      <c r="A36" s="22" t="inlineStr">
        <is>
          <t>Ledger write-offs on MAIIC loans (WriteOffClassifier): postings</t>
        </is>
      </c>
      <c r="B36" s="22" t="inlineStr">
        <is>
          <t>no golden value committed (ledger_writeoffs_postings)</t>
        </is>
      </c>
      <c r="C36" s="25" t="n">
        <v>22</v>
      </c>
      <c r="D36" s="22" t="n">
        <v>0.01</v>
      </c>
      <c r="E36" s="26">
        <f>IF(B36=C36,"PASS","FAIL")</f>
        <v/>
      </c>
      <c r="F36" s="22" t="inlineStr">
        <is>
          <t>the bootstrap's verify reports this row</t>
        </is>
      </c>
    </row>
    <row r="37">
      <c r="A37" s="22" t="inlineStr">
        <is>
          <t>Ledger write-offs on MAIIC loans (WriteOffClassifier): amount</t>
        </is>
      </c>
      <c r="B37" s="22" t="inlineStr">
        <is>
          <t>no golden value committed (ledger_writeoffs_amount)</t>
        </is>
      </c>
      <c r="C37" s="25" t="n">
        <v>60778466.86</v>
      </c>
      <c r="D37" s="22" t="n">
        <v>0.01</v>
      </c>
      <c r="E37" s="26">
        <f>IF(B37=C37,"PASS","FAIL")</f>
        <v/>
      </c>
      <c r="F37" s="22" t="inlineStr">
        <is>
          <t>the bootstrap's verify reports this row</t>
        </is>
      </c>
    </row>
    <row r="38">
      <c r="A38" s="22" t="inlineStr">
        <is>
          <t>ECL 2025-12, MAIIC's book: undiscounted</t>
        </is>
      </c>
      <c r="B38" s="22" t="inlineStr">
        <is>
          <t>no golden value committed (ecl_2025-12_maiic_undiscounted)</t>
        </is>
      </c>
      <c r="C38" s="25" t="n">
        <v>3955543846.37</v>
      </c>
      <c r="D38" s="22" t="n">
        <v>0.01</v>
      </c>
      <c r="E38" s="26">
        <f>IF(B38=C38,"PASS","FAIL")</f>
        <v/>
      </c>
      <c r="F38" s="22" t="inlineStr">
        <is>
          <t>the bootstrap's verify reports this row</t>
        </is>
      </c>
    </row>
    <row r="39">
      <c r="A39" s="22" t="inlineStr">
        <is>
          <t>ECL 2025-12, MAIIC's book: discounted at the EIR (booked)</t>
        </is>
      </c>
      <c r="B39" s="22" t="inlineStr">
        <is>
          <t>no golden value committed (ecl_2025-12_maiic_discounted)</t>
        </is>
      </c>
      <c r="C39" s="25" t="n">
        <v>2593174242.3</v>
      </c>
      <c r="D39" s="22" t="n">
        <v>0.01</v>
      </c>
      <c r="E39" s="26">
        <f>IF(B39=C39,"PASS","FAIL")</f>
        <v/>
      </c>
      <c r="F39" s="22" t="inlineStr">
        <is>
          <t>the bootstrap's verify reports this row</t>
        </is>
      </c>
    </row>
    <row r="40">
      <c r="A40" s="22" t="inlineStr">
        <is>
          <t>ECL 2025-12, MAIIC's book: loans discounted at the EIR</t>
        </is>
      </c>
      <c r="B40" s="22" t="inlineStr">
        <is>
          <t>no golden value committed (ecl_2025-12_maiic_discounted_loans)</t>
        </is>
      </c>
      <c r="C40" s="25" t="n">
        <v>56</v>
      </c>
      <c r="D40" s="22" t="n">
        <v>0.01</v>
      </c>
      <c r="E40" s="26">
        <f>IF(B40=C40,"PASS","FAIL")</f>
        <v/>
      </c>
      <c r="F40" s="22" t="inlineStr">
        <is>
          <t>the bootstrap's verify reports this row</t>
        </is>
      </c>
    </row>
    <row r="41">
      <c r="A41" s="22" t="inlineStr">
        <is>
          <t>ECL 2025-12, MAIIC's book, stage 1: discounted</t>
        </is>
      </c>
      <c r="B41" s="22" t="inlineStr">
        <is>
          <t>no golden value committed (ecl_2025-12_maiic_stage1_discounted)</t>
        </is>
      </c>
      <c r="C41" s="25" t="n">
        <v>61318291.61</v>
      </c>
      <c r="D41" s="22" t="n">
        <v>0.01</v>
      </c>
      <c r="E41" s="26">
        <f>IF(B41=C41,"PASS","FAIL")</f>
        <v/>
      </c>
      <c r="F41" s="22" t="inlineStr">
        <is>
          <t>the bootstrap's verify reports this row</t>
        </is>
      </c>
    </row>
    <row r="42">
      <c r="A42" s="22" t="inlineStr">
        <is>
          <t>ECL 2025-12, MAIIC's book, stage 2: discounted</t>
        </is>
      </c>
      <c r="B42" s="22" t="inlineStr">
        <is>
          <t>no golden value committed (ecl_2025-12_maiic_stage2_discounted)</t>
        </is>
      </c>
      <c r="C42" s="25" t="n">
        <v>315409106.41</v>
      </c>
      <c r="D42" s="22" t="n">
        <v>0.01</v>
      </c>
      <c r="E42" s="26">
        <f>IF(B42=C42,"PASS","FAIL")</f>
        <v/>
      </c>
      <c r="F42" s="22" t="inlineStr">
        <is>
          <t>the bootstrap's verify reports this row</t>
        </is>
      </c>
    </row>
    <row r="43">
      <c r="A43" s="22" t="inlineStr">
        <is>
          <t>ECL 2025-12, MAIIC's book, stage 3: discounted</t>
        </is>
      </c>
      <c r="B43" s="22" t="inlineStr">
        <is>
          <t>no golden value committed (ecl_2025-12_maiic_stage3_discounted)</t>
        </is>
      </c>
      <c r="C43" s="25" t="n">
        <v>2216446844.28</v>
      </c>
      <c r="D43" s="22" t="n">
        <v>0.01</v>
      </c>
      <c r="E43" s="26">
        <f>IF(B43=C43,"PASS","FAIL")</f>
        <v/>
      </c>
      <c r="F43" s="22" t="inlineStr">
        <is>
          <t>the bootstrap's verify reports this row</t>
        </is>
      </c>
    </row>
    <row r="44">
      <c r="A44" s="22" t="inlineStr">
        <is>
          <t>ECL 2025-12, Mega Farm programme (latest run)</t>
        </is>
      </c>
      <c r="B44" s="22" t="inlineStr">
        <is>
          <t>no golden value committed (ecl_2025-12_megafarm_programme)</t>
        </is>
      </c>
      <c r="C44" s="22" t="inlineStr">
        <is>
          <t>none</t>
        </is>
      </c>
      <c r="D44" s="22" t="n">
        <v>0.01</v>
      </c>
      <c r="E44" s="26">
        <f>IF(B44=C44,"PASS","FAIL")</f>
        <v/>
      </c>
      <c r="F44" s="22" t="inlineStr">
        <is>
          <t>the bootstrap's verify reports this row</t>
        </is>
      </c>
    </row>
    <row r="45">
      <c r="A45" s="22" t="inlineStr">
        <is>
          <t>ECL 2025-12, Mega Farm: MAIIC's share</t>
        </is>
      </c>
      <c r="B45" s="22" t="inlineStr">
        <is>
          <t>no golden value committed (ecl_2025-12_megafarm_maiic_share)</t>
        </is>
      </c>
      <c r="C45" s="22" t="inlineStr">
        <is>
          <t>none</t>
        </is>
      </c>
      <c r="D45" s="22" t="n">
        <v>0.01</v>
      </c>
      <c r="E45" s="26">
        <f>IF(B45=C45,"PASS","FAIL")</f>
        <v/>
      </c>
      <c r="F45" s="22" t="inlineStr">
        <is>
          <t>the bootstrap's verify reports this row</t>
        </is>
      </c>
    </row>
    <row r="46">
      <c r="A46" s="22" t="inlineStr">
        <is>
          <t>ECL 2026-09, MAIIC's book: undiscounted</t>
        </is>
      </c>
      <c r="B46" s="22" t="inlineStr">
        <is>
          <t>no golden value committed (ecl_2026-09_maiic_undiscounted)</t>
        </is>
      </c>
      <c r="C46" s="25" t="n">
        <v>11569458915.88</v>
      </c>
      <c r="D46" s="22" t="n">
        <v>0.01</v>
      </c>
      <c r="E46" s="26">
        <f>IF(B46=C46,"PASS","FAIL")</f>
        <v/>
      </c>
      <c r="F46" s="22" t="inlineStr">
        <is>
          <t>the bootstrap's verify reports this row</t>
        </is>
      </c>
    </row>
    <row r="47">
      <c r="A47" s="22" t="inlineStr">
        <is>
          <t>ECL 2026-09, MAIIC's book: discounted at the EIR (booked)</t>
        </is>
      </c>
      <c r="B47" s="22" t="inlineStr">
        <is>
          <t>no golden value committed (ecl_2026-09_maiic_discounted)</t>
        </is>
      </c>
      <c r="C47" s="25" t="n">
        <v>7118643553.12</v>
      </c>
      <c r="D47" s="22" t="n">
        <v>0.01</v>
      </c>
      <c r="E47" s="26">
        <f>IF(B47=C47,"PASS","FAIL")</f>
        <v/>
      </c>
      <c r="F47" s="22" t="inlineStr">
        <is>
          <t>the bootstrap's verify reports this row</t>
        </is>
      </c>
    </row>
    <row r="48">
      <c r="A48" s="22" t="inlineStr">
        <is>
          <t>ECL 2026-09, MAIIC's book: loans discounted at the EIR</t>
        </is>
      </c>
      <c r="B48" s="22" t="inlineStr">
        <is>
          <t>no golden value committed (ecl_2026-09_maiic_discounted_loans)</t>
        </is>
      </c>
      <c r="C48" s="25" t="n">
        <v>62</v>
      </c>
      <c r="D48" s="22" t="n">
        <v>0.01</v>
      </c>
      <c r="E48" s="26">
        <f>IF(B48=C48,"PASS","FAIL")</f>
        <v/>
      </c>
      <c r="F48" s="22" t="inlineStr">
        <is>
          <t>the bootstrap's verify reports this row</t>
        </is>
      </c>
    </row>
    <row r="49">
      <c r="A49" s="22" t="inlineStr">
        <is>
          <t>ECL 2026-09, MAIIC's book, stage 1: discounted</t>
        </is>
      </c>
      <c r="B49" s="22" t="inlineStr">
        <is>
          <t>no golden value committed (ecl_2026-09_maiic_stage1_discounted)</t>
        </is>
      </c>
      <c r="C49" s="25" t="n">
        <v>219546033.9</v>
      </c>
      <c r="D49" s="22" t="n">
        <v>0.01</v>
      </c>
      <c r="E49" s="26">
        <f>IF(B49=C49,"PASS","FAIL")</f>
        <v/>
      </c>
      <c r="F49" s="22" t="inlineStr">
        <is>
          <t>the bootstrap's verify reports this row</t>
        </is>
      </c>
    </row>
    <row r="50">
      <c r="A50" s="22" t="inlineStr">
        <is>
          <t>ECL 2026-09, MAIIC's book, stage 2: discounted</t>
        </is>
      </c>
      <c r="B50" s="22" t="inlineStr">
        <is>
          <t>no golden value committed (ecl_2026-09_maiic_stage2_discounted)</t>
        </is>
      </c>
      <c r="C50" s="25" t="n">
        <v>183786390.69</v>
      </c>
      <c r="D50" s="22" t="n">
        <v>0.01</v>
      </c>
      <c r="E50" s="26">
        <f>IF(B50=C50,"PASS","FAIL")</f>
        <v/>
      </c>
      <c r="F50" s="22" t="inlineStr">
        <is>
          <t>the bootstrap's verify reports this row</t>
        </is>
      </c>
    </row>
    <row r="51">
      <c r="A51" s="22" t="inlineStr">
        <is>
          <t>ECL 2026-09, MAIIC's book, stage 3: discounted</t>
        </is>
      </c>
      <c r="B51" s="22" t="inlineStr">
        <is>
          <t>no golden value committed (ecl_2026-09_maiic_stage3_discounted)</t>
        </is>
      </c>
      <c r="C51" s="25" t="n">
        <v>6715311128.53</v>
      </c>
      <c r="D51" s="22" t="n">
        <v>0.01</v>
      </c>
      <c r="E51" s="26">
        <f>IF(B51=C51,"PASS","FAIL")</f>
        <v/>
      </c>
      <c r="F51" s="22" t="inlineStr">
        <is>
          <t>the bootstrap's verify reports this row</t>
        </is>
      </c>
    </row>
    <row r="52">
      <c r="A52" s="22" t="inlineStr">
        <is>
          <t>ECL 2026-09, Mega Farm programme (latest run)</t>
        </is>
      </c>
      <c r="B52" s="22" t="inlineStr">
        <is>
          <t>no golden value committed (ecl_2026-09_megafarm_programme)</t>
        </is>
      </c>
      <c r="C52" s="25" t="n">
        <v>45782301503.37</v>
      </c>
      <c r="D52" s="22" t="n">
        <v>0.01</v>
      </c>
      <c r="E52" s="26">
        <f>IF(B52=C52,"PASS","FAIL")</f>
        <v/>
      </c>
      <c r="F52" s="22" t="inlineStr">
        <is>
          <t>the bootstrap's verify reports this row</t>
        </is>
      </c>
    </row>
    <row r="53">
      <c r="A53" s="22" t="inlineStr">
        <is>
          <t>ECL 2026-09, Mega Farm: MAIIC's share</t>
        </is>
      </c>
      <c r="B53" s="22" t="inlineStr">
        <is>
          <t>no golden value committed (ecl_2026-09_megafarm_maiic_share)</t>
        </is>
      </c>
      <c r="C53" s="25" t="n">
        <v>2289115075.17</v>
      </c>
      <c r="D53" s="22" t="n">
        <v>0.01</v>
      </c>
      <c r="E53" s="26">
        <f>IF(B53=C53,"PASS","FAIL")</f>
        <v/>
      </c>
      <c r="F53" s="22" t="inlineStr">
        <is>
          <t>the bootstrap's verify reports this row</t>
        </is>
      </c>
    </row>
    <row r="54">
      <c r="A54" s="22" t="inlineStr">
        <is>
          <t>EIR contracts locked</t>
        </is>
      </c>
      <c r="B54" s="22" t="inlineStr">
        <is>
          <t>no golden value committed (eir_contracts_locked)</t>
        </is>
      </c>
      <c r="C54" s="25" t="n">
        <v>14</v>
      </c>
      <c r="D54" s="22" t="n">
        <v>0.01</v>
      </c>
      <c r="E54" s="26">
        <f>IF(B54=C54,"PASS","FAIL")</f>
        <v/>
      </c>
      <c r="F54" s="22" t="inlineStr">
        <is>
          <t>the bootstrap's verify reports this row</t>
        </is>
      </c>
    </row>
    <row r="55">
      <c r="A55" s="22" t="inlineStr">
        <is>
          <t>EIR contracts blocked</t>
        </is>
      </c>
      <c r="B55" s="22" t="inlineStr">
        <is>
          <t>no golden value committed (eir_contracts_blocked)</t>
        </is>
      </c>
      <c r="C55" s="25" t="n">
        <v>33</v>
      </c>
      <c r="D55" s="22" t="n">
        <v>0.01</v>
      </c>
      <c r="E55" s="26">
        <f>IF(B55=C55,"PASS","FAIL")</f>
        <v/>
      </c>
      <c r="F55" s="22" t="inlineStr">
        <is>
          <t>the bootstrap's verify reports this row</t>
        </is>
      </c>
    </row>
    <row r="56">
      <c r="A56" s="22" t="inlineStr">
        <is>
          <t>EIR contracts solved (an EIR computed)</t>
        </is>
      </c>
      <c r="B56" s="22" t="inlineStr">
        <is>
          <t>no golden value committed (eir_contracts_solved)</t>
        </is>
      </c>
      <c r="C56" s="25" t="n">
        <v>14</v>
      </c>
      <c r="D56" s="22" t="n">
        <v>0.01</v>
      </c>
      <c r="E56" s="26">
        <f>IF(B56=C56,"PASS","FAIL")</f>
        <v/>
      </c>
      <c r="F56" s="22" t="inlineStr">
        <is>
          <t>the bootstrap's verify reports this row</t>
        </is>
      </c>
    </row>
    <row r="57">
      <c r="A57" s="22" t="inlineStr">
        <is>
          <t>EIR contracts in the contract master</t>
        </is>
      </c>
      <c r="B57" s="22" t="inlineStr">
        <is>
          <t>no golden value committed (eir_contracts)</t>
        </is>
      </c>
      <c r="C57" s="25" t="n">
        <v>144</v>
      </c>
      <c r="D57" s="22" t="n">
        <v>0.01</v>
      </c>
      <c r="E57" s="26">
        <f>IF(B57=C57,"PASS","FAIL")</f>
        <v/>
      </c>
      <c r="F57" s="22" t="inlineStr">
        <is>
          <t>the bootstrap's verify reports this row</t>
        </is>
      </c>
    </row>
    <row r="58">
      <c r="A58" s="22" t="inlineStr">
        <is>
          <t>Revenue 2024: EIR interest recognised</t>
        </is>
      </c>
      <c r="B58" s="22" t="inlineStr">
        <is>
          <t>no golden value committed (revenue_2024_eir_interest)</t>
        </is>
      </c>
      <c r="C58" s="25" t="n">
        <v>25532678.7</v>
      </c>
      <c r="D58" s="22" t="n">
        <v>0.01</v>
      </c>
      <c r="E58" s="26">
        <f>IF(B58=C58,"PASS","FAIL")</f>
        <v/>
      </c>
      <c r="F58" s="22" t="inlineStr">
        <is>
          <t>the bootstrap's verify reports this row</t>
        </is>
      </c>
    </row>
    <row r="59">
      <c r="A59" s="22" t="inlineStr">
        <is>
          <t>Revenue 2024: cash received</t>
        </is>
      </c>
      <c r="B59" s="22" t="inlineStr">
        <is>
          <t>no golden value committed (revenue_2024_cash_received)</t>
        </is>
      </c>
      <c r="C59" s="25" t="n">
        <v>34200000</v>
      </c>
      <c r="D59" s="22" t="n">
        <v>0.01</v>
      </c>
      <c r="E59" s="26">
        <f>IF(B59=C59,"PASS","FAIL")</f>
        <v/>
      </c>
      <c r="F59" s="22" t="inlineStr">
        <is>
          <t>the bootstrap's verify reports this row</t>
        </is>
      </c>
    </row>
    <row r="60">
      <c r="A60" s="22" t="inlineStr">
        <is>
          <t>Revenue 2024: roll-forward rows</t>
        </is>
      </c>
      <c r="B60" s="22" t="inlineStr">
        <is>
          <t>no golden value committed (revenue_2024_rows)</t>
        </is>
      </c>
      <c r="C60" s="25" t="n">
        <v>20</v>
      </c>
      <c r="D60" s="22" t="n">
        <v>0.01</v>
      </c>
      <c r="E60" s="26">
        <f>IF(B60=C60,"PASS","FAIL")</f>
        <v/>
      </c>
      <c r="F60" s="22" t="inlineStr">
        <is>
          <t>the bootstrap's verify reports this row</t>
        </is>
      </c>
    </row>
    <row r="61">
      <c r="A61" s="22" t="inlineStr">
        <is>
          <t>Revenue 2025: EIR interest recognised</t>
        </is>
      </c>
      <c r="B61" s="22" t="inlineStr">
        <is>
          <t>no golden value committed (revenue_2025_eir_interest)</t>
        </is>
      </c>
      <c r="C61" s="25" t="n">
        <v>663970866.88</v>
      </c>
      <c r="D61" s="22" t="n">
        <v>0.01</v>
      </c>
      <c r="E61" s="26">
        <f>IF(B61=C61,"PASS","FAIL")</f>
        <v/>
      </c>
      <c r="F61" s="22" t="inlineStr">
        <is>
          <t>the bootstrap's verify reports this row</t>
        </is>
      </c>
    </row>
    <row r="62">
      <c r="A62" s="22" t="inlineStr">
        <is>
          <t>Revenue 2025: cash received</t>
        </is>
      </c>
      <c r="B62" s="22" t="inlineStr">
        <is>
          <t>no golden value committed (revenue_2025_cash_received)</t>
        </is>
      </c>
      <c r="C62" s="25" t="n">
        <v>1158267060.2</v>
      </c>
      <c r="D62" s="22" t="n">
        <v>0.01</v>
      </c>
      <c r="E62" s="26">
        <f>IF(B62=C62,"PASS","FAIL")</f>
        <v/>
      </c>
      <c r="F62" s="22" t="inlineStr">
        <is>
          <t>the bootstrap's verify reports this row</t>
        </is>
      </c>
    </row>
    <row r="63">
      <c r="A63" s="22" t="inlineStr">
        <is>
          <t>Revenue 2025: roll-forward rows</t>
        </is>
      </c>
      <c r="B63" s="22" t="inlineStr">
        <is>
          <t>no golden value committed (revenue_2025_rows)</t>
        </is>
      </c>
      <c r="C63" s="25" t="n">
        <v>126</v>
      </c>
      <c r="D63" s="22" t="n">
        <v>0.01</v>
      </c>
      <c r="E63" s="26">
        <f>IF(B63=C63,"PASS","FAIL")</f>
        <v/>
      </c>
      <c r="F63" s="22" t="inlineStr">
        <is>
          <t>the bootstrap's verify reports this row</t>
        </is>
      </c>
    </row>
    <row r="64">
      <c r="A64" s="22" t="inlineStr">
        <is>
          <t>Revenue 2026: EIR interest recognised</t>
        </is>
      </c>
      <c r="B64" s="22" t="inlineStr">
        <is>
          <t>no golden value committed (revenue_2026_eir_interest)</t>
        </is>
      </c>
      <c r="C64" s="25" t="n">
        <v>544517024.26</v>
      </c>
      <c r="D64" s="22" t="n">
        <v>0.01</v>
      </c>
      <c r="E64" s="26">
        <f>IF(B64=C64,"PASS","FAIL")</f>
        <v/>
      </c>
      <c r="F64" s="22" t="inlineStr">
        <is>
          <t>the bootstrap's verify reports this row</t>
        </is>
      </c>
    </row>
    <row r="65">
      <c r="A65" s="22" t="inlineStr">
        <is>
          <t>Revenue 2026: cash received</t>
        </is>
      </c>
      <c r="B65" s="22" t="inlineStr">
        <is>
          <t>no golden value committed (revenue_2026_cash_received)</t>
        </is>
      </c>
      <c r="C65" s="25" t="n">
        <v>2381610987.63</v>
      </c>
      <c r="D65" s="22" t="n">
        <v>0.01</v>
      </c>
      <c r="E65" s="26">
        <f>IF(B65=C65,"PASS","FAIL")</f>
        <v/>
      </c>
      <c r="F65" s="22" t="inlineStr">
        <is>
          <t>the bootstrap's verify reports this row</t>
        </is>
      </c>
    </row>
    <row r="66">
      <c r="A66" s="22" t="inlineStr">
        <is>
          <t>Revenue 2026: roll-forward rows</t>
        </is>
      </c>
      <c r="B66" s="22" t="inlineStr">
        <is>
          <t>no golden value committed (revenue_2026_rows)</t>
        </is>
      </c>
      <c r="C66" s="25" t="n">
        <v>113</v>
      </c>
      <c r="D66" s="22" t="n">
        <v>0.01</v>
      </c>
      <c r="E66" s="26">
        <f>IF(B66=C66,"PASS","FAIL")</f>
        <v/>
      </c>
      <c r="F66" s="22" t="inlineStr">
        <is>
          <t>the bootstrap's verify reports this row</t>
        </is>
      </c>
    </row>
    <row r="67">
      <c r="A67" s="22" t="inlineStr">
        <is>
          <t>RBM return 2026-09: facilities classified loss (paragraph 12 list)</t>
        </is>
      </c>
      <c r="B67" s="22" t="inlineStr">
        <is>
          <t>no golden value committed (rbm_2026-09_loss_facilities)</t>
        </is>
      </c>
      <c r="C67" s="25" t="n">
        <v>10</v>
      </c>
      <c r="D67" s="22" t="n">
        <v>0.01</v>
      </c>
      <c r="E67" s="26">
        <f>IF(B67=C67,"PASS","FAIL")</f>
        <v/>
      </c>
      <c r="F67" s="22" t="inlineStr">
        <is>
          <t>the bootstrap's verify reports this row</t>
        </is>
      </c>
    </row>
    <row r="68">
      <c r="A68" s="22" t="inlineStr">
        <is>
          <t>RBM return 2026-09: balance of the loss list</t>
        </is>
      </c>
      <c r="B68" s="22" t="inlineStr">
        <is>
          <t>no golden value committed (rbm_2026-09_loss_balance)</t>
        </is>
      </c>
      <c r="C68" s="25" t="n">
        <v>1510956083.45</v>
      </c>
      <c r="D68" s="22" t="n">
        <v>0.01</v>
      </c>
      <c r="E68" s="26">
        <f>IF(B68=C68,"PASS","FAIL")</f>
        <v/>
      </c>
      <c r="F68" s="22" t="inlineStr">
        <is>
          <t>the bootstrap's verify reports this row</t>
        </is>
      </c>
    </row>
  </sheetData>
  <conditionalFormatting sqref="E5:E68">
    <cfRule type="expression" priority="1" dxfId="0">
      <formula>$E5="PASS"</formula>
    </cfRule>
    <cfRule type="expression" priority="2" dxfId="2">
      <formula>$E5="FAIL"</formula>
    </cfRule>
  </conditionalFormatting>
  <hyperlinks>
    <hyperlink ref="A2" location="'Contents'!A1" display="Back to Contents"/>
  </hyperlink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2026-10-14T08:44:41Z</dcterms:created>
  <dcterms:modified xmlns:dcterms="http://purl.org/dc/terms/" xmlns:xsi="http://www.w3.org/2001/XMLSchema-instance" xsi:type="dcterms:W3CDTF">2026-10-14T08:44:42Z</dcterms:modified>
</cp:coreProperties>
</file>