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ents" sheetId="1" state="visible" r:id="rId1"/>
    <sheet xmlns:r="http://schemas.openxmlformats.org/officeDocument/2006/relationships" name="Audit" sheetId="2" state="visible" r:id="rId2"/>
    <sheet xmlns:r="http://schemas.openxmlformats.org/officeDocument/2006/relationships" name="Findings" sheetId="3" state="visible" r:id="rId3"/>
    <sheet xmlns:r="http://schemas.openxmlformats.org/officeDocument/2006/relationships" name="Baselines" sheetId="4" state="visible" r:id="rId4"/>
  </sheets>
  <definedNames>
    <definedName name="_xlnm._FilterDatabase" localSheetId="1" hidden="1">'Audit'!$A$4:$K$17</definedName>
    <definedName name="_xlnm.Print_Titles" localSheetId="1">'Audit'!$4:$4</definedName>
    <definedName name="_xlnm.Print_Titles" localSheetId="2">'Findings'!$4:$4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0B2B1A"/>
      <sz val="13"/>
    </font>
    <font>
      <name val="Arial"/>
      <i val="1"/>
      <color rgb="00595959"/>
      <sz val="9"/>
    </font>
    <font>
      <name val="Arial"/>
      <color rgb="000563C1"/>
      <sz val="9"/>
      <u val="single"/>
    </font>
    <font>
      <name val="Arial"/>
      <b val="1"/>
      <color rgb="00FFFFFF"/>
      <sz val="10"/>
    </font>
    <font>
      <name val="Arial"/>
      <b val="1"/>
      <color rgb="000B2B1A"/>
      <sz val="10"/>
    </font>
    <font>
      <name val="Arial"/>
      <sz val="9"/>
    </font>
    <font>
      <name val="Arial"/>
      <b val="1"/>
      <sz val="9"/>
    </font>
    <font>
      <name val="Arial"/>
      <b val="1"/>
      <color rgb="000B2B1A"/>
      <sz val="14"/>
    </font>
    <font>
      <name val="Arial"/>
      <i val="1"/>
      <color rgb="00595959"/>
      <sz val="8"/>
    </font>
  </fonts>
  <fills count="9">
    <fill>
      <patternFill/>
    </fill>
    <fill>
      <patternFill patternType="gray125"/>
    </fill>
    <fill>
      <patternFill patternType="solid">
        <fgColor rgb="000B2B1A"/>
      </patternFill>
    </fill>
    <fill>
      <patternFill patternType="solid">
        <fgColor rgb="00FBF0E4"/>
      </patternFill>
    </fill>
    <fill>
      <patternFill patternType="solid">
        <fgColor rgb="00C6EFCE"/>
      </patternFill>
    </fill>
    <fill>
      <patternFill patternType="solid">
        <fgColor rgb="00FFEB9C"/>
      </patternFill>
    </fill>
    <fill>
      <patternFill patternType="solid">
        <fgColor rgb="00FFC7CE"/>
      </patternFill>
    </fill>
    <fill>
      <patternFill patternType="solid">
        <fgColor rgb="00D9D9D9"/>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8" fillId="0" borderId="0" pivotButton="0" quotePrefix="0" xfId="0"/>
    <xf numFmtId="0" fontId="2" fillId="0" borderId="0" pivotButton="0" quotePrefix="0" xfId="0"/>
    <xf numFmtId="0" fontId="5" fillId="0" borderId="0" pivotButton="0" quotePrefix="0" xfId="0"/>
    <xf numFmtId="0" fontId="5" fillId="0" borderId="0" applyAlignment="1" pivotButton="0" quotePrefix="0" xfId="0">
      <alignment horizontal="center"/>
    </xf>
    <xf numFmtId="0" fontId="7" fillId="4" borderId="1" pivotButton="0" quotePrefix="0" xfId="0"/>
    <xf numFmtId="0" fontId="6" fillId="0" borderId="0" applyAlignment="1" pivotButton="0" quotePrefix="0" xfId="0">
      <alignment vertical="top" wrapText="1"/>
    </xf>
    <xf numFmtId="0" fontId="7" fillId="0" borderId="0" applyAlignment="1" pivotButton="0" quotePrefix="0" xfId="0">
      <alignment horizontal="center" vertical="top"/>
    </xf>
    <xf numFmtId="0" fontId="7" fillId="5" borderId="1" pivotButton="0" quotePrefix="0" xfId="0"/>
    <xf numFmtId="0" fontId="7" fillId="6" borderId="1" pivotButton="0" quotePrefix="0" xfId="0"/>
    <xf numFmtId="0" fontId="7" fillId="7" borderId="1" pivotButton="0" quotePrefix="0" xfId="0"/>
    <xf numFmtId="0" fontId="7" fillId="8" borderId="1" pivotButton="0" quotePrefix="0" xfId="0"/>
    <xf numFmtId="0" fontId="7" fillId="0" borderId="0" pivotButton="0" quotePrefix="0" xfId="0"/>
    <xf numFmtId="0" fontId="7" fillId="0" borderId="0" applyAlignment="1" pivotButton="0" quotePrefix="0" xfId="0">
      <alignment horizontal="center"/>
    </xf>
    <xf numFmtId="0" fontId="4" fillId="2" borderId="1" applyAlignment="1" pivotButton="0" quotePrefix="0" xfId="0">
      <alignment vertical="center" wrapText="1"/>
    </xf>
    <xf numFmtId="0" fontId="5" fillId="3" borderId="0" pivotButton="0" quotePrefix="0" xfId="0"/>
    <xf numFmtId="0" fontId="6" fillId="0" borderId="1" pivotButton="0" quotePrefix="0" xfId="0"/>
    <xf numFmtId="0" fontId="3" fillId="0" borderId="1" pivotButton="0" quotePrefix="0" xfId="0"/>
    <xf numFmtId="0" fontId="3" fillId="0" borderId="0" pivotButton="0" quotePrefix="0" xfId="0"/>
    <xf numFmtId="0" fontId="9" fillId="0" borderId="0" pivotButton="0" quotePrefix="0" xfId="0"/>
    <xf numFmtId="0" fontId="1" fillId="0" borderId="0" pivotButton="0" quotePrefix="0" xfId="0"/>
    <xf numFmtId="0" fontId="2" fillId="0" borderId="0" applyAlignment="1" pivotButton="0" quotePrefix="0" xfId="0">
      <alignment vertical="top" wrapText="1"/>
    </xf>
    <xf numFmtId="0" fontId="6" fillId="0" borderId="1" applyAlignment="1" pivotButton="0" quotePrefix="0" xfId="0">
      <alignment vertical="top" wrapText="1"/>
    </xf>
    <xf numFmtId="0" fontId="7" fillId="0" borderId="1" applyAlignment="1" pivotButton="0" quotePrefix="0" xfId="0">
      <alignment vertical="top" wrapText="1"/>
    </xf>
    <xf numFmtId="0" fontId="3" fillId="0" borderId="1" applyAlignment="1" pivotButton="0" quotePrefix="0" xfId="0">
      <alignment vertical="top" wrapText="1"/>
    </xf>
    <xf numFmtId="4" fontId="6" fillId="0" borderId="1" applyAlignment="1" pivotButton="0" quotePrefix="0" xfId="0">
      <alignment vertical="top" wrapText="1"/>
    </xf>
    <xf numFmtId="0" fontId="7" fillId="0" borderId="1" pivotButton="0" quotePrefix="0" xfId="0"/>
  </cellXfs>
  <cellStyles count="1">
    <cellStyle name="Normal" xfId="0" builtinId="0" hidden="0"/>
  </cellStyles>
  <dxfs count="5">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9D9D9"/>
        </patternFill>
      </fill>
    </dxf>
    <dxf>
      <fill>
        <patternFill patternType="solid">
          <fgColor rgb="00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B8860B"/>
    <outlinePr summaryBelow="1" summaryRight="1"/>
    <pageSetUpPr fitToPage="1"/>
  </sheetPr>
  <dimension ref="A1:D30"/>
  <sheetViews>
    <sheetView showGridLines="0" workbookViewId="0">
      <pane ySplit="2" topLeftCell="A3" activePane="bottomLeft" state="frozen"/>
      <selection pane="bottomLeft" activeCell="A1" sqref="A1"/>
    </sheetView>
  </sheetViews>
  <sheetFormatPr baseColWidth="8" defaultRowHeight="15"/>
  <cols>
    <col width="30" customWidth="1" min="1" max="1"/>
    <col width="62" customWidth="1" min="2" max="2"/>
    <col width="30" customWidth="1" min="3" max="3"/>
    <col width="16" customWidth="1" min="4" max="4"/>
  </cols>
  <sheetData>
    <row r="1">
      <c r="A1" s="1" t="inlineStr">
        <is>
          <t>RBM Directive 2018 - credit risk management for DFIs - compliance audit</t>
        </is>
      </c>
    </row>
    <row r="2">
      <c r="A2" s="2" t="inlineStr">
        <is>
          <t>Contents (the standard's own order of sections). Click a section to open its row on the Audit sheet.</t>
        </is>
      </c>
    </row>
    <row r="4">
      <c r="A4" s="3" t="inlineStr">
        <is>
          <t>Status definitions</t>
        </is>
      </c>
      <c r="C4" s="4" t="inlineStr">
        <is>
          <t>Sections</t>
        </is>
      </c>
    </row>
    <row r="5" ht="26" customHeight="1">
      <c r="A5" s="5" t="inlineStr">
        <is>
          <t>Done</t>
        </is>
      </c>
      <c r="B5" s="6" t="inlineStr">
        <is>
          <t>Implemented in the system and visible in an approved output; the test in column 11 fails if the behaviour changes.</t>
        </is>
      </c>
      <c r="C5" s="7">
        <f>COUNTIF(Audit!$D:$D,"Done")</f>
        <v/>
      </c>
    </row>
    <row r="6" ht="26" customHeight="1">
      <c r="A6" s="8" t="inlineStr">
        <is>
          <t>Partially done</t>
        </is>
      </c>
      <c r="B6" s="6" t="inlineStr">
        <is>
          <t>The mechanics are in place, but a parameter, an input or a piece of evidence still differs from the requirement.</t>
        </is>
      </c>
      <c r="C6" s="7">
        <f>COUNTIF(Audit!$D:$D,"Partially done")</f>
        <v/>
      </c>
    </row>
    <row r="7" ht="26" customHeight="1">
      <c r="A7" s="9" t="inlineStr">
        <is>
          <t>Outstanding</t>
        </is>
      </c>
      <c r="B7" s="6" t="inlineStr">
        <is>
          <t>Required for MAIIC and not built.</t>
        </is>
      </c>
      <c r="C7" s="7">
        <f>COUNTIF(Audit!$D:$D,"Outstanding")</f>
        <v/>
      </c>
    </row>
    <row r="8" ht="26" customHeight="1">
      <c r="A8" s="10" t="inlineStr">
        <is>
          <t>Not applicable, documented</t>
        </is>
      </c>
      <c r="B8" s="6" t="inlineStr">
        <is>
          <t>Does not apply to MAIIC by a recorded decision or fact (reason and reference given); revisit if the facts change.</t>
        </is>
      </c>
      <c r="C8" s="7">
        <f>COUNTIF(Audit!$D:$D,"Not applicable, documented")</f>
        <v/>
      </c>
    </row>
    <row r="9" ht="26" customHeight="1">
      <c r="A9" s="11" t="inlineStr">
        <is>
          <t>Evidence needed from MAIIC</t>
        </is>
      </c>
      <c r="B9" s="6" t="inlineStr">
        <is>
          <t>The system is ready; MAIIC must supply a document, minute or dataset before the row can be closed.</t>
        </is>
      </c>
      <c r="C9" s="7">
        <f>COUNTIF(Audit!$D:$D,"Evidence needed from MAIIC")</f>
        <v/>
      </c>
    </row>
    <row r="10">
      <c r="A10" s="12" t="inlineStr">
        <is>
          <t>Sections audited</t>
        </is>
      </c>
      <c r="C10" s="13">
        <f>COUNTA(Audit!$A$5:$A$17)-5</f>
        <v/>
      </c>
    </row>
    <row r="11">
      <c r="A11" s="12" t="inlineStr">
        <is>
          <t>Baselines passing</t>
        </is>
      </c>
      <c r="C11" s="13">
        <f>COUNTIF(Baselines!$E:$E,"PASS")&amp;" of "&amp;COUNTA(Baselines!$A$5:$A$500)</f>
        <v/>
      </c>
    </row>
    <row r="13">
      <c r="A13" s="14" t="inlineStr">
        <is>
          <t>Ref</t>
        </is>
      </c>
      <c r="B13" s="14" t="inlineStr">
        <is>
          <t>Section</t>
        </is>
      </c>
      <c r="C13" s="14" t="inlineStr">
        <is>
          <t>Status</t>
        </is>
      </c>
      <c r="D13" s="14" t="inlineStr">
        <is>
          <t>Open in Audit</t>
        </is>
      </c>
    </row>
    <row r="14">
      <c r="A14" s="15" t="inlineStr">
        <is>
          <t>PART I - PRELIMINARY</t>
        </is>
      </c>
    </row>
    <row r="15">
      <c r="A15" s="16" t="inlineStr">
        <is>
          <t>2</t>
        </is>
      </c>
      <c r="B15" s="17" t="inlineStr">
        <is>
          <t>Definitions: short-, medium- and long-term facilities</t>
        </is>
      </c>
      <c r="C15" s="16">
        <f>Audit!D6</f>
        <v/>
      </c>
      <c r="D15" s="17" t="inlineStr">
        <is>
          <t>Audit row 6</t>
        </is>
      </c>
    </row>
    <row r="16">
      <c r="A16" s="15" t="inlineStr">
        <is>
          <t>PART III - CLASSIFICATION</t>
        </is>
      </c>
    </row>
    <row r="17">
      <c r="A17" s="16" t="inlineStr">
        <is>
          <t>9</t>
        </is>
      </c>
      <c r="B17" s="17" t="inlineStr">
        <is>
          <t>Classification of credit facilities</t>
        </is>
      </c>
      <c r="C17" s="16">
        <f>Audit!D8</f>
        <v/>
      </c>
      <c r="D17" s="17" t="inlineStr">
        <is>
          <t>Audit row 8</t>
        </is>
      </c>
    </row>
    <row r="18">
      <c r="A18" s="16" t="inlineStr">
        <is>
          <t>10</t>
        </is>
      </c>
      <c r="B18" s="17" t="inlineStr">
        <is>
          <t>Non-performing: substandard from 91 days (short-term) or 181 days (medium and long term)</t>
        </is>
      </c>
      <c r="C18" s="16">
        <f>Audit!D9</f>
        <v/>
      </c>
      <c r="D18" s="17" t="inlineStr">
        <is>
          <t>Audit row 9</t>
        </is>
      </c>
    </row>
    <row r="19">
      <c r="A19" s="16" t="inlineStr">
        <is>
          <t>11</t>
        </is>
      </c>
      <c r="B19" s="17" t="inlineStr">
        <is>
          <t>Doubtful and loss</t>
        </is>
      </c>
      <c r="C19" s="16">
        <f>Audit!D10</f>
        <v/>
      </c>
      <c r="D19" s="17" t="inlineStr">
        <is>
          <t>Audit row 10</t>
        </is>
      </c>
    </row>
    <row r="20">
      <c r="A20" s="15" t="inlineStr">
        <is>
          <t>PART IV - PROVISIONING</t>
        </is>
      </c>
    </row>
    <row r="21">
      <c r="A21" s="16" t="inlineStr">
        <is>
          <t>12</t>
        </is>
      </c>
      <c r="B21" s="17" t="inlineStr">
        <is>
          <t>Minimum provisions by class</t>
        </is>
      </c>
      <c r="C21" s="16">
        <f>Audit!D12</f>
        <v/>
      </c>
      <c r="D21" s="17" t="inlineStr">
        <is>
          <t>Audit row 12</t>
        </is>
      </c>
    </row>
    <row r="22">
      <c r="A22" s="16" t="inlineStr">
        <is>
          <t>13</t>
        </is>
      </c>
      <c r="B22" s="17" t="inlineStr">
        <is>
          <t>Non-accrual of interest</t>
        </is>
      </c>
      <c r="C22" s="16">
        <f>Audit!D13</f>
        <v/>
      </c>
      <c r="D22" s="17" t="inlineStr">
        <is>
          <t>Audit row 13</t>
        </is>
      </c>
    </row>
    <row r="23">
      <c r="A23" s="15" t="inlineStr">
        <is>
          <t>PART V - RESTRUCTURING</t>
        </is>
      </c>
    </row>
    <row r="24">
      <c r="A24" s="16" t="inlineStr">
        <is>
          <t>15</t>
        </is>
      </c>
      <c r="B24" s="17" t="inlineStr">
        <is>
          <t>Restructured facilities</t>
        </is>
      </c>
      <c r="C24" s="16">
        <f>Audit!D15</f>
        <v/>
      </c>
      <c r="D24" s="17" t="inlineStr">
        <is>
          <t>Audit row 15</t>
        </is>
      </c>
    </row>
    <row r="25">
      <c r="A25" s="15" t="inlineStr">
        <is>
          <t>PART VI - REPORTING</t>
        </is>
      </c>
    </row>
    <row r="26">
      <c r="A26" s="16" t="inlineStr">
        <is>
          <t>17</t>
        </is>
      </c>
      <c r="B26" s="17" t="inlineStr">
        <is>
          <t>Returns to the Reserve Bank</t>
        </is>
      </c>
      <c r="C26" s="16">
        <f>Audit!D17</f>
        <v/>
      </c>
      <c r="D26" s="17" t="inlineStr">
        <is>
          <t>Audit row 17</t>
        </is>
      </c>
    </row>
    <row r="28">
      <c r="A28" s="18" t="inlineStr">
        <is>
          <t>Findings that need a decision or a fix: see the 'Findings' sheet</t>
        </is>
      </c>
    </row>
    <row r="29">
      <c r="A29" s="18" t="inlineStr">
        <is>
          <t>The acceptance ties read from the system: see the 'Baselines' sheet</t>
        </is>
      </c>
    </row>
    <row r="30">
      <c r="A30" s="19" t="inlineStr">
        <is>
          <t>Source: docs/regulatory/RBM Financial Services (Credit Risk Management for DFIs) Directive 2018 pp42-47.pdf. Spec v4 section 3.6, decision D31; the O13 rebuttal paper of 8 October 2026.</t>
        </is>
      </c>
    </row>
  </sheetData>
  <mergeCells count="5">
    <mergeCell ref="A23:D23"/>
    <mergeCell ref="A20:D20"/>
    <mergeCell ref="A25:D25"/>
    <mergeCell ref="A16:D16"/>
    <mergeCell ref="A14:D14"/>
  </mergeCells>
  <conditionalFormatting sqref="C14:C27">
    <cfRule type="expression" priority="1" dxfId="0">
      <formula>$C14="Done"</formula>
    </cfRule>
    <cfRule type="expression" priority="2" dxfId="1">
      <formula>$C14="Partially done"</formula>
    </cfRule>
    <cfRule type="expression" priority="3" dxfId="2">
      <formula>$C14="Outstanding"</formula>
    </cfRule>
    <cfRule type="expression" priority="4" dxfId="3">
      <formula>$C14="Not applicable, documented"</formula>
    </cfRule>
    <cfRule type="expression" priority="5" dxfId="4">
      <formula>$C14="Evidence needed from MAIIC"</formula>
    </cfRule>
  </conditionalFormatting>
  <hyperlinks>
    <hyperlink ref="B15" location="'Audit'!A6" display="Definitions: short-, medium- and long-term facilities"/>
    <hyperlink ref="D15" location="'Audit'!A6" display="Audit row 6"/>
    <hyperlink ref="B17" location="'Audit'!A8" display="Classification of credit facilities"/>
    <hyperlink ref="D17" location="'Audit'!A8" display="Audit row 8"/>
    <hyperlink ref="B18" location="'Audit'!A9" display="Non-performing: substandard from 91 days (short-term) or 181 days (medium and long term)"/>
    <hyperlink ref="D18" location="'Audit'!A9" display="Audit row 9"/>
    <hyperlink ref="B19" location="'Audit'!A10" display="Doubtful and loss"/>
    <hyperlink ref="D19" location="'Audit'!A10" display="Audit row 10"/>
    <hyperlink ref="B21" location="'Audit'!A12" display="Minimum provisions by class"/>
    <hyperlink ref="D21" location="'Audit'!A12" display="Audit row 12"/>
    <hyperlink ref="B22" location="'Audit'!A13" display="Non-accrual of interest"/>
    <hyperlink ref="D22" location="'Audit'!A13" display="Audit row 13"/>
    <hyperlink ref="B24" location="'Audit'!A15" display="Restructured facilities"/>
    <hyperlink ref="D24" location="'Audit'!A15" display="Audit row 15"/>
    <hyperlink ref="B26" location="'Audit'!A17" display="Returns to the Reserve Bank"/>
    <hyperlink ref="D26" location="'Audit'!A17" display="Audit row 17"/>
    <hyperlink ref="A28" location="'Findings'!A1" display="Findings that need a decision or a fix: see the 'Findings' sheet"/>
    <hyperlink ref="A29" location="'Baselines'!A1" display="The acceptance ties read from the system: see the 'Baselines' sheet"/>
  </hyperlinks>
  <pageMargins left="0.75" right="0.75" top="1" bottom="1" header="0.5" footer="0.5"/>
  <pageSetup orientation="landscape" fitToHeight="0" fitToWidth="1"/>
</worksheet>
</file>

<file path=xl/worksheets/sheet2.xml><?xml version="1.0" encoding="utf-8"?>
<worksheet xmlns="http://schemas.openxmlformats.org/spreadsheetml/2006/main">
  <sheetPr>
    <tabColor rgb="000B2B1A"/>
    <outlinePr summaryBelow="1" summaryRight="1"/>
    <pageSetUpPr fitToPage="1"/>
  </sheetPr>
  <dimension ref="A1:K17"/>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30" customWidth="1" min="2" max="2"/>
    <col width="56" customWidth="1" min="3" max="3"/>
    <col width="22" customWidth="1" min="4" max="4"/>
    <col width="58" customWidth="1" min="5" max="5"/>
    <col width="36" customWidth="1" min="6" max="6"/>
    <col width="42" customWidth="1" min="7" max="7"/>
    <col width="46" customWidth="1" min="8" max="8"/>
    <col width="20" customWidth="1" min="9" max="9"/>
    <col width="30" customWidth="1" min="10" max="10"/>
    <col width="44" customWidth="1" min="11" max="11"/>
  </cols>
  <sheetData>
    <row r="1">
      <c r="A1" s="20" t="inlineStr">
        <is>
          <t>Financial Services (Credit Risk Management for Development Finance Institutions) Directive 2018, Reserve Bank of Malawi (Gazette 13 July 2018, No. 18A, pages 42 to 47) - compliance audit</t>
        </is>
      </c>
    </row>
    <row r="2" ht="30" customHeight="1">
      <c r="A2" s="21" t="inlineStr">
        <is>
          <t>Malawi Agricultural and Industrial Investment Company (MAIIC) - IFRS 9 EIR and ECL system - build of 8 October 2026 against specification v4. Prepared 9 October 2026 from the staging thresholds seeded per the directive, the staged loan books of July 2024 to August 2026, and the RBM Classification and IFRS 9 vs RBM reports. Reviewer: MAIIC Risk. Status definitions: see 'Contents'.</t>
        </is>
      </c>
    </row>
    <row r="3">
      <c r="A3" s="18" t="inlineStr">
        <is>
          <t>Back to Contents</t>
        </is>
      </c>
    </row>
    <row r="4" ht="34" customHeight="1">
      <c r="A4" s="14" t="inlineStr">
        <is>
          <t>Reference</t>
        </is>
      </c>
      <c r="B4" s="14" t="inlineStr">
        <is>
          <t>Section name</t>
        </is>
      </c>
      <c r="C4" s="14" t="inlineStr">
        <is>
          <t>What it requires</t>
        </is>
      </c>
      <c r="D4" s="14" t="inlineStr">
        <is>
          <t>Status</t>
        </is>
      </c>
      <c r="E4" s="14" t="inlineStr">
        <is>
          <t>What the engine does (evidence checked)</t>
        </is>
      </c>
      <c r="F4" s="14" t="inlineStr">
        <is>
          <t>General comment</t>
        </is>
      </c>
      <c r="G4" s="14" t="inlineStr">
        <is>
          <t>Compliance comment</t>
        </is>
      </c>
      <c r="H4" s="14" t="inlineStr">
        <is>
          <t>Where to see it (screen; report or export)</t>
        </is>
      </c>
      <c r="I4" s="14" t="inlineStr">
        <is>
          <t>Reviewer sign-off (initials / date)</t>
        </is>
      </c>
      <c r="J4" s="14" t="inlineStr">
        <is>
          <t>Governance setting</t>
        </is>
      </c>
      <c r="K4" s="14" t="inlineStr">
        <is>
          <t>Test that proves it</t>
        </is>
      </c>
    </row>
    <row r="5">
      <c r="A5" s="15" t="inlineStr">
        <is>
          <t>PART I - PRELIMINARY</t>
        </is>
      </c>
    </row>
    <row r="6">
      <c r="A6" s="22" t="inlineStr">
        <is>
          <t>2</t>
        </is>
      </c>
      <c r="B6" s="22" t="inlineStr">
        <is>
          <t>Definitions: short-, medium- and long-term facilities</t>
        </is>
      </c>
      <c r="C6" s="22" t="inlineStr">
        <is>
          <t>A short-term facility has a repayment period of not more than 12 months; medium-term more than 12 and up to 60; long-term more than 60.</t>
        </is>
      </c>
      <c r="D6" s="23" t="inlineStr">
        <is>
          <t>Done</t>
        </is>
      </c>
      <c r="E6" s="22" t="inlineStr">
        <is>
          <t>The staging thresholds are keyed by facility class and the tenor in months: DEFAULT with min_tenor 0 (short-term, 91 days) and min_tenor 13 (medium and long, 181 days), each row citing the directive's section 2; the loan book carries the tenor from the loan master.</t>
        </is>
      </c>
      <c r="F6" s="22" t="inlineStr"/>
      <c r="G6" s="22" t="inlineStr">
        <is>
          <t>Compliant.</t>
        </is>
      </c>
      <c r="H6" s="22" t="inlineStr">
        <is>
          <t>Governance Centre, Staging &amp; SICR Rules: /stageing-rules</t>
        </is>
      </c>
      <c r="I6" s="22" t="inlineStr"/>
      <c r="J6" s="22" t="inlineStr">
        <is>
          <t>dpd_basis</t>
        </is>
      </c>
      <c r="K6" s="22" t="inlineStr">
        <is>
          <t>Tests\Feature\Eir\StagingThresholdSeederTest</t>
        </is>
      </c>
    </row>
    <row r="7">
      <c r="A7" s="15" t="inlineStr">
        <is>
          <t>PART III - CLASSIFICATION</t>
        </is>
      </c>
    </row>
    <row r="8">
      <c r="A8" s="22" t="inlineStr">
        <is>
          <t>9</t>
        </is>
      </c>
      <c r="B8" s="22" t="inlineStr">
        <is>
          <t>Classification of credit facilities</t>
        </is>
      </c>
      <c r="C8" s="22" t="inlineStr">
        <is>
          <t>Classify every facility as pass, special mention, substandard, doubtful or loss by the days in arrears and the qualitative factors.</t>
        </is>
      </c>
      <c r="D8" s="23" t="inlineStr">
        <is>
          <t>Done</t>
        </is>
      </c>
      <c r="E8" s="22" t="inlineStr">
        <is>
          <t>The RBM Classification report classifies each loan from the days past due the build counts from the oldest overdue instalment, under the directive's bands by term of facility (the same bands as the RBM Return, proven to agree at every band edge); the arrears ageing shows the class beside each day band; the IFRS 9 stage is mapped to the RBM class in the IFRS 9 vs RBM report.</t>
        </is>
      </c>
      <c r="F8" s="22" t="inlineStr"/>
      <c r="G8" s="22" t="inlineStr">
        <is>
          <t>Compliant.</t>
        </is>
      </c>
      <c r="H8" s="22" t="inlineStr">
        <is>
          <t>Risk &amp; Regulatory, RBM Classification: /ifrs9-reports/rbm-classification; IFRS 9 vs RBM: /ifrs9-reports/ifrs9-vs-rbm</t>
        </is>
      </c>
      <c r="I8" s="22" t="inlineStr"/>
      <c r="J8" s="22" t="inlineStr">
        <is>
          <t>dpd_basis</t>
        </is>
      </c>
      <c r="K8" s="22" t="inlineStr">
        <is>
          <t>Tests\Feature\Rbm\RbmReturnServiceTest::test_the_rbm_classification_report_agrees_with_the_return_on_every_loan</t>
        </is>
      </c>
    </row>
    <row r="9">
      <c r="A9" s="22" t="inlineStr">
        <is>
          <t>10</t>
        </is>
      </c>
      <c r="B9" s="22" t="inlineStr">
        <is>
          <t>Non-performing: substandard from 91 days (short-term) or 181 days (medium and long term)</t>
        </is>
      </c>
      <c r="C9" s="22" t="inlineStr">
        <is>
          <t>A facility is non-performing when principal or interest is due and unpaid for 90 days or more on a short-term facility, or 180 days or more on a medium- or long-term facility.</t>
        </is>
      </c>
      <c r="D9" s="23" t="inlineStr">
        <is>
          <t>Done</t>
        </is>
      </c>
      <c r="E9" s="22" t="inlineStr">
        <is>
          <t>Stage 3 from 91 days for a facility of 12 months or less and from 181 days otherwise; the November 2025 model's uniform 181 days and the accounting policy's 90 days are compared in spec section 3.6 and the thresholds carry the comparison as their rebuttal basis.</t>
        </is>
      </c>
      <c r="F9" s="22" t="inlineStr">
        <is>
          <t>The LONG_TERM proposal (91 days for every class) is seeded future-dated and inactive pending CFO sign-off.</t>
        </is>
      </c>
      <c r="G9" s="22" t="inlineStr">
        <is>
          <t>Compliant.</t>
        </is>
      </c>
      <c r="H9" s="22" t="inlineStr">
        <is>
          <t>Risk &amp; Regulatory, RBM Classification: /ifrs9-reports/rbm-classification; IFRS 9 vs RBM: /ifrs9-reports/ifrs9-vs-rbm</t>
        </is>
      </c>
      <c r="I9" s="22" t="inlineStr"/>
      <c r="J9" s="22" t="inlineStr">
        <is>
          <t>dpd_basis; staging_rebuttal</t>
        </is>
      </c>
      <c r="K9" s="22" t="inlineStr">
        <is>
          <t>Tests\Feature\Eir\StagingServiceTest::test_the_directive_thresholds_by_tenor_class_and_the_bucket_fallback</t>
        </is>
      </c>
    </row>
    <row r="10">
      <c r="A10" s="22" t="inlineStr">
        <is>
          <t>11</t>
        </is>
      </c>
      <c r="B10" s="22" t="inlineStr">
        <is>
          <t>Doubtful and loss</t>
        </is>
      </c>
      <c r="C10" s="22" t="inlineStr">
        <is>
          <t>Doubtful from 181 (short-term) or 366 days (medium and long term); loss beyond 365 or 746 days, or where recovery is not expected.</t>
        </is>
      </c>
      <c r="D10" s="23" t="inlineStr">
        <is>
          <t>Partially done</t>
        </is>
      </c>
      <c r="E10" s="22" t="inlineStr">
        <is>
          <t>The RBM Classification report and the RBM Return apply the doubtful and loss bands by term from section 10 of the Gazette (181/366 days short-term, 366/747 otherwise); the loan book's buckets end at 271 to 360 days and the build counts days from the overdue date without a ceiling, so the bands are classified from the day count; the qualitative 'recovery not expected' flag is the write-off policy MAIIC has not stated.</t>
        </is>
      </c>
      <c r="F10" s="22" t="inlineStr"/>
      <c r="G10" s="22" t="inlineStr">
        <is>
          <t>Partially done: the day bands are applied; the qualitative loss criterion awaits the policy.</t>
        </is>
      </c>
      <c r="H10" s="22" t="inlineStr">
        <is>
          <t>Risk &amp; Regulatory, RBM Classification: /ifrs9-reports/rbm-classification; IFRS 9 vs RBM: /ifrs9-reports/ifrs9-vs-rbm</t>
        </is>
      </c>
      <c r="I10" s="22" t="inlineStr"/>
      <c r="J10" s="22" t="inlineStr"/>
      <c r="K10" s="22" t="inlineStr">
        <is>
          <t>Tests\Feature\Rbm\RbmReturnServiceTest</t>
        </is>
      </c>
    </row>
    <row r="11">
      <c r="A11" s="15" t="inlineStr">
        <is>
          <t>PART IV - PROVISIONING</t>
        </is>
      </c>
    </row>
    <row r="12">
      <c r="A12" s="22" t="inlineStr">
        <is>
          <t>12</t>
        </is>
      </c>
      <c r="B12" s="22" t="inlineStr">
        <is>
          <t>Minimum provisions by class</t>
        </is>
      </c>
      <c r="C12" s="22" t="inlineStr">
        <is>
          <t>Provide at least 0 percent on pass, 5 on special mention, 20 on substandard, 50 on doubtful and 100 on loss, net of eligible security.</t>
        </is>
      </c>
      <c r="D12" s="23" t="inlineStr">
        <is>
          <t>Done</t>
        </is>
      </c>
      <c r="E12" s="22" t="inlineStr">
        <is>
          <t>The IFRS 9 vs RBM report applies the five percentages to the classified book and sets the regulatory provision beside the IFRS 9 allowance; the higher of the two is the figure the regulatory return carries.</t>
        </is>
      </c>
      <c r="F12" s="22" t="inlineStr"/>
      <c r="G12" s="22" t="inlineStr">
        <is>
          <t>Compliant in the report; the eligible-security netting rests on the collateral register (IFRS 7 workbook F1).</t>
        </is>
      </c>
      <c r="H12" s="22" t="inlineStr">
        <is>
          <t>Risk &amp; Regulatory, RBM Classification: /ifrs9-reports/rbm-classification; IFRS 9 vs RBM: /ifrs9-reports/ifrs9-vs-rbm</t>
        </is>
      </c>
      <c r="I12" s="22" t="inlineStr"/>
      <c r="J12" s="22" t="inlineStr"/>
      <c r="K12" s="22" t="inlineStr">
        <is>
          <t>Tests\Feature\Ecl\TimePhasedEclServiceTest</t>
        </is>
      </c>
    </row>
    <row r="13">
      <c r="A13" s="22" t="inlineStr">
        <is>
          <t>13</t>
        </is>
      </c>
      <c r="B13" s="22" t="inlineStr">
        <is>
          <t>Non-accrual of interest</t>
        </is>
      </c>
      <c r="C13" s="22" t="inlineStr">
        <is>
          <t>Interest on a non-performing facility is not recognised as income; it is held in suspense until received.</t>
        </is>
      </c>
      <c r="D13" s="23" t="inlineStr">
        <is>
          <t>Done</t>
        </is>
      </c>
      <c r="E13" s="22" t="inlineStr">
        <is>
          <t>Stage 3 interest in the EIR roll-forward is on the net basis; the contractual interest E-Banker continues to post on non-performing accounts is shown beside it in the GL reconciliation, so the suspense the directive requires is the difference the system reports.</t>
        </is>
      </c>
      <c r="F13" s="22" t="inlineStr">
        <is>
          <t>The year-end re-rating of December 2025 (28 postings) is explained in spec section 3.4.</t>
        </is>
      </c>
      <c r="G13" s="22" t="inlineStr">
        <is>
          <t>Compliant; the suspense is reported, and the posting practice is Finance's to align.</t>
        </is>
      </c>
      <c r="H13" s="22" t="inlineStr">
        <is>
          <t>Report Hub, GL Reconciliation: /eir-reconciliation</t>
        </is>
      </c>
      <c r="I13" s="22" t="inlineStr"/>
      <c r="J13" s="22" t="inlineStr">
        <is>
          <t>stage3_interest_basis</t>
        </is>
      </c>
      <c r="K13" s="22" t="inlineStr">
        <is>
          <t>Tests\Feature\Eir\EirRevenueServiceTest</t>
        </is>
      </c>
    </row>
    <row r="14">
      <c r="A14" s="15" t="inlineStr">
        <is>
          <t>PART V - RESTRUCTURING</t>
        </is>
      </c>
    </row>
    <row r="15">
      <c r="A15" s="22" t="inlineStr">
        <is>
          <t>15</t>
        </is>
      </c>
      <c r="B15" s="22" t="inlineStr">
        <is>
          <t>Restructured facilities</t>
        </is>
      </c>
      <c r="C15" s="22" t="inlineStr">
        <is>
          <t>A restructured facility keeps its classification until the borrower has performed under the new terms for a stated period.</t>
        </is>
      </c>
      <c r="D15" s="23" t="inlineStr">
        <is>
          <t>Evidence needed from MAIIC</t>
        </is>
      </c>
      <c r="E15" s="22" t="inlineStr">
        <is>
          <t>The restructured-loan register and E-Banker's Reschedule Report are awaited from the vendor; the loan's status history (P3_13) is landed.</t>
        </is>
      </c>
      <c r="F15" s="22" t="inlineStr"/>
      <c r="G15" s="22" t="inlineStr">
        <is>
          <t>Evidence needed from the vendor.</t>
        </is>
      </c>
      <c r="H15" s="22" t="inlineStr">
        <is>
          <t>Data Foundation, E-Banker Feed: /eir-feed</t>
        </is>
      </c>
      <c r="I15" s="22" t="inlineStr"/>
      <c r="J15" s="22" t="inlineStr">
        <is>
          <t>rate_change_classification</t>
        </is>
      </c>
      <c r="K15" s="22" t="inlineStr"/>
    </row>
    <row r="16">
      <c r="A16" s="15" t="inlineStr">
        <is>
          <t>PART VI - REPORTING</t>
        </is>
      </c>
    </row>
    <row r="17">
      <c r="A17" s="22" t="inlineStr">
        <is>
          <t>17</t>
        </is>
      </c>
      <c r="B17" s="22" t="inlineStr">
        <is>
          <t>Returns to the Reserve Bank</t>
        </is>
      </c>
      <c r="C17" s="22" t="inlineStr">
        <is>
          <t>Submit the classification and provisioning return in the prescribed form and frequency.</t>
        </is>
      </c>
      <c r="D17" s="23" t="inlineStr">
        <is>
          <t>Partially done</t>
        </is>
      </c>
      <c r="E17" s="22" t="inlineStr">
        <is>
          <t>RbmReturnService fills the return in the directive's own order from the system: A the facilities by class and term under the directive's day bands, B the minimum provision per class against the IFRS 9 allowance with the higher of the two, C interest in suspense on non-performing facilities, D restructured facilities (awaiting the Reschedule Report), E the security on the register; on the screen with the CSV. The layout is provisional: the prescribed form is MAIIC Risk's and is not in the repository.</t>
        </is>
      </c>
      <c r="F17" s="22" t="inlineStr"/>
      <c r="G17" s="22" t="inlineStr">
        <is>
          <t>Partially done: every line is filled; the form's own order and wording are applied when Risk supplies it.</t>
        </is>
      </c>
      <c r="H17" s="22" t="inlineStr">
        <is>
          <t>Risk &amp; Regulatory, RBM Return (provisional): /rbm-return; Risk &amp; Regulatory, RBM Classification: /ifrs9-reports/rbm-classification; IFRS 9 vs RBM: /ifrs9-reports/ifrs9-vs-rbm</t>
        </is>
      </c>
      <c r="I17" s="22" t="inlineStr"/>
      <c r="J17" s="22" t="inlineStr">
        <is>
          <t>dpd_basis</t>
        </is>
      </c>
      <c r="K17" s="22" t="inlineStr">
        <is>
          <t>Tests\Feature\Rbm\RbmReturnServiceTest</t>
        </is>
      </c>
    </row>
  </sheetData>
  <autoFilter ref="A4:K17"/>
  <mergeCells count="6">
    <mergeCell ref="A7:K7"/>
    <mergeCell ref="A2:K2"/>
    <mergeCell ref="A11:K11"/>
    <mergeCell ref="A16:K16"/>
    <mergeCell ref="A14:K14"/>
    <mergeCell ref="A5:K5"/>
  </mergeCells>
  <conditionalFormatting sqref="D5:D17">
    <cfRule type="expression" priority="1" dxfId="0">
      <formula>$D5="Done"</formula>
    </cfRule>
    <cfRule type="expression" priority="2" dxfId="1">
      <formula>$D5="Partially done"</formula>
    </cfRule>
    <cfRule type="expression" priority="3" dxfId="2">
      <formula>$D5="Outstanding"</formula>
    </cfRule>
    <cfRule type="expression" priority="4" dxfId="3">
      <formula>$D5="Not applicable, documented"</formula>
    </cfRule>
    <cfRule type="expression" priority="5" dxfId="4">
      <formula>$D5="Evidence needed from MAIIC"</formula>
    </cfRule>
  </conditionalFormatting>
  <conditionalFormatting sqref="K5:K17">
    <cfRule type="expression" priority="6" dxfId="2">
      <formula>AND($D5="Done",$K5="")</formula>
    </cfRule>
  </conditionalFormatting>
  <dataValidations count="1">
    <dataValidation sqref="D5:D17" showDropDown="0" showInputMessage="0" showErrorMessage="0" allowBlank="1" type="list">
      <formula1>"Done,Partially done,Outstanding,Not applicable, documented,Evidence needed from MAIIC"</formula1>
    </dataValidation>
  </dataValidations>
  <hyperlinks>
    <hyperlink ref="A3" location="'Contents'!A1" display="Back to Contents"/>
  </hyperlinks>
  <pageMargins left="0.75" right="0.75" top="1" bottom="1" header="0.5" footer="0.5"/>
  <pageSetup orientation="landscape" fitToHeight="0" fitToWidth="1"/>
</worksheet>
</file>

<file path=xl/worksheets/sheet3.xml><?xml version="1.0" encoding="utf-8"?>
<worksheet xmlns="http://schemas.openxmlformats.org/spreadsheetml/2006/main">
  <sheetPr>
    <tabColor rgb="00C00000"/>
    <outlinePr summaryBelow="1" summaryRight="1"/>
    <pageSetUpPr fitToPage="1"/>
  </sheetPr>
  <dimension ref="A1:H7"/>
  <sheetViews>
    <sheetView showGridLines="0" workbookViewId="0">
      <pane ySplit="4" topLeftCell="A5" activePane="bottomLeft" state="frozen"/>
      <selection pane="bottomLeft" activeCell="A1" sqref="A1"/>
    </sheetView>
  </sheetViews>
  <sheetFormatPr baseColWidth="8" defaultRowHeight="15"/>
  <cols>
    <col width="6" customWidth="1" min="1" max="1"/>
    <col width="16" customWidth="1" min="2" max="2"/>
    <col width="30" customWidth="1" min="3" max="3"/>
    <col width="64" customWidth="1" min="4" max="4"/>
    <col width="40" customWidth="1" min="5" max="5"/>
    <col width="64" customWidth="1" min="6" max="6"/>
    <col width="26" customWidth="1" min="7" max="7"/>
    <col width="12" customWidth="1" min="8" max="8"/>
  </cols>
  <sheetData>
    <row r="1">
      <c r="A1" s="20" t="inlineStr">
        <is>
          <t>Findings - items that need a decision or a fix before this standard can be signed off</t>
        </is>
      </c>
    </row>
    <row r="2">
      <c r="A2" s="18" t="inlineStr">
        <is>
          <t>Back to Contents</t>
        </is>
      </c>
    </row>
    <row r="4">
      <c r="A4" s="14" t="inlineStr">
        <is>
          <t>No.</t>
        </is>
      </c>
      <c r="B4" s="14" t="inlineStr">
        <is>
          <t>Reference</t>
        </is>
      </c>
      <c r="C4" s="14" t="inlineStr">
        <is>
          <t>Finding</t>
        </is>
      </c>
      <c r="D4" s="14" t="inlineStr">
        <is>
          <t>What was found</t>
        </is>
      </c>
      <c r="E4" s="14" t="inlineStr">
        <is>
          <t>Impact</t>
        </is>
      </c>
      <c r="F4" s="14" t="inlineStr">
        <is>
          <t>Recommended action</t>
        </is>
      </c>
      <c r="G4" s="14" t="inlineStr">
        <is>
          <t>Owner</t>
        </is>
      </c>
      <c r="H4" s="14" t="inlineStr">
        <is>
          <t>Status</t>
        </is>
      </c>
    </row>
    <row r="5">
      <c r="A5" s="22" t="inlineStr">
        <is>
          <t>F1</t>
        </is>
      </c>
      <c r="B5" s="24" t="inlineStr">
        <is>
          <t>15</t>
        </is>
      </c>
      <c r="C5" s="22" t="inlineStr">
        <is>
          <t>The restructured-loan register is not in the system</t>
        </is>
      </c>
      <c r="D5" s="22" t="inlineStr">
        <is>
          <t>The Reschedule Report and the register are awaited from the vendor; restructured facilities cannot keep their classification as section 15 requires.</t>
        </is>
      </c>
      <c r="E5" s="22" t="inlineStr">
        <is>
          <t>Classification of restructured facilities may be too favourable.</t>
        </is>
      </c>
      <c r="F5" s="22" t="inlineStr">
        <is>
          <t>Barry obtains the Reschedule Report; the register is loaded by the feed and the classification holds it.</t>
        </is>
      </c>
      <c r="G5" s="22" t="inlineStr">
        <is>
          <t>Barry Makumba</t>
        </is>
      </c>
      <c r="H5" s="22" t="inlineStr">
        <is>
          <t>Open</t>
        </is>
      </c>
    </row>
    <row r="6">
      <c r="A6" s="22" t="inlineStr">
        <is>
          <t>F2</t>
        </is>
      </c>
      <c r="B6" s="24" t="inlineStr">
        <is>
          <t>17</t>
        </is>
      </c>
      <c r="C6" s="22" t="inlineStr">
        <is>
          <t>The prescribed return form is not in the repository</t>
        </is>
      </c>
      <c r="D6" s="22" t="inlineStr">
        <is>
          <t>The provisional return fills every line the directive asks for, in the directive's order; the Reserve Bank's own form (its schedule number, order and wording) has not been supplied.</t>
        </is>
      </c>
      <c r="E6" s="22" t="inlineStr">
        <is>
          <t>The return is still transcribed into the Bank's form by hand.</t>
        </is>
      </c>
      <c r="F6" s="22" t="inlineStr">
        <is>
          <t>MAIIC Risk supplies the current form (the Excel or PDF sent to the Bank); the provisional layout is re-ordered and re-worded to it line for line; the figures stay as they are.</t>
        </is>
      </c>
      <c r="G6" s="22" t="inlineStr">
        <is>
          <t>MAIIC Risk / Dupleix</t>
        </is>
      </c>
      <c r="H6" s="22" t="inlineStr">
        <is>
          <t>Open</t>
        </is>
      </c>
    </row>
    <row r="7">
      <c r="A7" s="22" t="inlineStr">
        <is>
          <t>F3</t>
        </is>
      </c>
      <c r="B7" s="22" t="inlineStr">
        <is>
          <t>9 to 11</t>
        </is>
      </c>
      <c r="C7" s="22" t="inlineStr">
        <is>
          <t>The RBM Classification report's day bands differed from the directive's</t>
        </is>
      </c>
      <c r="D7" s="22" t="inlineStr">
        <is>
          <t>The older RBM Classification report classified every facility on one ladder (90, 180, 365 days) with 1 percent on pass and special mention. Resolved in two steps: on 9 October 2026 the report, the provision comparison and the arrears ageing were put on one rule with the RBM Return; the system audit of the same day then found that rule itself carried wrong medium- and long-term bands (30/180/360/720, from a note carried between sessions) and both were corrected to the Gazette's section 10: short-term 30/90/180/365, medium and long 90/180/365/746, with a test at every boundary on both terms.</t>
        </is>
      </c>
      <c r="E7" s="22" t="inlineStr">
        <is>
          <t>None remaining: both screens classify by the Gazette's bands.</t>
        </is>
      </c>
      <c r="F7" s="22" t="inlineStr">
        <is>
          <t>Done.</t>
        </is>
      </c>
      <c r="G7" s="22" t="inlineStr">
        <is>
          <t>Dupleix</t>
        </is>
      </c>
      <c r="H7" s="22" t="inlineStr">
        <is>
          <t>Closed</t>
        </is>
      </c>
    </row>
  </sheetData>
  <dataValidations count="1">
    <dataValidation sqref="H5:H7" showDropDown="0" showInputMessage="0" showErrorMessage="0" allowBlank="1" type="list">
      <formula1>"Open,In progress,Closed,Deferred"</formula1>
    </dataValidation>
  </dataValidations>
  <hyperlinks>
    <hyperlink ref="A2" location="'Contents'!A1" display="Back to Contents"/>
    <hyperlink ref="B5" location="'Audit'!A15" display="15"/>
    <hyperlink ref="B6" location="'Audit'!A17" display="17"/>
  </hyperlinks>
  <pageMargins left="0.75" right="0.75" top="1" bottom="1" header="0.5" footer="0.5"/>
  <pageSetup orientation="landscape" fitToHeight="0" fitToWidth="1"/>
</worksheet>
</file>

<file path=xl/worksheets/sheet4.xml><?xml version="1.0" encoding="utf-8"?>
<worksheet xmlns="http://schemas.openxmlformats.org/spreadsheetml/2006/main">
  <sheetPr>
    <tabColor rgb="002E75B6"/>
    <outlinePr summaryBelow="1" summaryRight="1"/>
    <pageSetUpPr fitToPage="1"/>
  </sheetPr>
  <dimension ref="A1:F13"/>
  <sheetViews>
    <sheetView showGridLines="0" workbookViewId="0">
      <pane ySplit="4" topLeftCell="A5" activePane="bottomLeft" state="frozen"/>
      <selection pane="bottomLeft" activeCell="A1" sqref="A1"/>
    </sheetView>
  </sheetViews>
  <sheetFormatPr baseColWidth="8" defaultRowHeight="15"/>
  <cols>
    <col width="64" customWidth="1" min="1" max="1"/>
    <col width="22" customWidth="1" min="2" max="2"/>
    <col width="24" customWidth="1" min="3" max="3"/>
    <col width="12" customWidth="1" min="4" max="4"/>
    <col width="10" customWidth="1" min="5" max="5"/>
    <col width="50" customWidth="1" min="6" max="6"/>
  </cols>
  <sheetData>
    <row r="1">
      <c r="A1" s="20" t="inlineStr">
        <is>
          <t>Baselines - the acceptance ties of specification section 9, read from the system at generation</t>
        </is>
      </c>
    </row>
    <row r="2">
      <c r="A2" s="18" t="inlineStr">
        <is>
          <t>Back to Contents</t>
        </is>
      </c>
    </row>
    <row r="3">
      <c r="A3" s="2" t="inlineStr">
        <is>
          <t>Generated 2026-10-09 00:03:49 from maiic_ifrs9_bootstrap. The PASS/FAIL in column E is a formula on columns B and C, so it recomputes if a figure is typed over.</t>
        </is>
      </c>
    </row>
    <row r="4">
      <c r="A4" s="14" t="inlineStr">
        <is>
          <t>Tie</t>
        </is>
      </c>
      <c r="B4" s="14" t="inlineStr">
        <is>
          <t>Expected</t>
        </is>
      </c>
      <c r="C4" s="14" t="inlineStr">
        <is>
          <t>System figure at generation</t>
        </is>
      </c>
      <c r="D4" s="14" t="inlineStr">
        <is>
          <t>Tolerance</t>
        </is>
      </c>
      <c r="E4" s="14" t="inlineStr">
        <is>
          <t>Result</t>
        </is>
      </c>
      <c r="F4" s="14" t="inlineStr">
        <is>
          <t>Note</t>
        </is>
      </c>
    </row>
    <row r="5">
      <c r="A5" s="22" t="inlineStr">
        <is>
          <t>Interest posted Jan 2025 to Jul 2026 (ledger, types 303 and 120)</t>
        </is>
      </c>
      <c r="B5" s="25" t="n">
        <v>5293988207.06</v>
      </c>
      <c r="C5" s="25" t="n">
        <v>5293988207.06</v>
      </c>
      <c r="D5" s="22" t="n">
        <v>1</v>
      </c>
      <c r="E5" s="26">
        <f>IF(ABS(B5-C5)&lt;=D5,"PASS","FAIL")</f>
        <v/>
      </c>
      <c r="F5" s="22" t="inlineStr"/>
    </row>
    <row r="6">
      <c r="A6" s="22" t="inlineStr">
        <is>
          <t>Derived carrying amount against the stored report (over 2 cents)</t>
        </is>
      </c>
      <c r="B6" s="22" t="inlineStr">
        <is>
          <t>0 differences</t>
        </is>
      </c>
      <c r="C6" s="22" t="inlineStr">
        <is>
          <t>0 of 2361 account-months</t>
        </is>
      </c>
      <c r="D6" s="22" t="n">
        <v>0.01</v>
      </c>
      <c r="E6" s="26">
        <f>IF(B6=C6,"PASS","FAIL")</f>
        <v/>
      </c>
      <c r="F6" s="22" t="inlineStr"/>
    </row>
    <row r="7">
      <c r="A7" s="22" t="inlineStr">
        <is>
          <t>Year-end interest batch contra on 4215</t>
        </is>
      </c>
      <c r="B7" s="25" t="n">
        <v>32956675.55</v>
      </c>
      <c r="C7" s="25" t="n">
        <v>32956675.55</v>
      </c>
      <c r="D7" s="22" t="n">
        <v>1</v>
      </c>
      <c r="E7" s="26">
        <f>IF(ABS(B7-C7)&lt;=D7,"PASS","FAIL")</f>
        <v/>
      </c>
      <c r="F7" s="22" t="inlineStr"/>
    </row>
    <row r="8">
      <c r="A8" s="22" t="inlineStr">
        <is>
          <t>Year-end interest batch contra on 4216</t>
        </is>
      </c>
      <c r="B8" s="25" t="n">
        <v>-21733262.7</v>
      </c>
      <c r="C8" s="25" t="n">
        <v>-21733262.7</v>
      </c>
      <c r="D8" s="22" t="n">
        <v>0.01</v>
      </c>
      <c r="E8" s="26">
        <f>IF(ABS(B8-C8)&lt;=D8,"PASS","FAIL")</f>
        <v/>
      </c>
      <c r="F8" s="22" t="inlineStr"/>
    </row>
    <row r="9">
      <c r="A9" s="22" t="inlineStr">
        <is>
          <t>Loan book 1050101 at 31 Dec 2025 against the trial balance</t>
        </is>
      </c>
      <c r="B9" s="25" t="n">
        <v>1368737810.68</v>
      </c>
      <c r="C9" s="25" t="n">
        <v>1368737810.68</v>
      </c>
      <c r="D9" s="22" t="n">
        <v>1</v>
      </c>
      <c r="E9" s="26">
        <f>IF(ABS(B9-C9)&lt;=D9,"PASS","FAIL")</f>
        <v/>
      </c>
      <c r="F9" s="22" t="inlineStr"/>
    </row>
    <row r="10">
      <c r="A10" s="22" t="inlineStr">
        <is>
          <t>Loan book 1050102 at 31 Dec 2025 against the trial balance</t>
        </is>
      </c>
      <c r="B10" s="25" t="n">
        <v>6434045052.56</v>
      </c>
      <c r="C10" s="25" t="n">
        <v>6434045052.56</v>
      </c>
      <c r="D10" s="22" t="n">
        <v>1</v>
      </c>
      <c r="E10" s="26">
        <f>IF(ABS(B10-C10)&lt;=D10,"PASS","FAIL")</f>
        <v/>
      </c>
      <c r="F10" s="22" t="inlineStr"/>
    </row>
    <row r="11">
      <c r="A11" s="22" t="inlineStr">
        <is>
          <t>Loan book 1050201 at 31 Dec 2025 against the trial balance (accepted exception, spec 3.5: -400,000.00)</t>
        </is>
      </c>
      <c r="B11" s="25" t="n">
        <v>1402393139.46</v>
      </c>
      <c r="C11" s="25" t="n">
        <v>1401993139.46</v>
      </c>
      <c r="D11" s="22" t="n">
        <v>1</v>
      </c>
      <c r="E11" s="26">
        <f>IF(ABS(B11-C11)&lt;=D11,"PASS","FAIL")</f>
        <v/>
      </c>
      <c r="F11" s="22" t="inlineStr"/>
    </row>
    <row r="12">
      <c r="A12" s="22" t="inlineStr">
        <is>
          <t>Loan book 1050202 at 31 Dec 2025 against the trial balance (accepted exception, spec 3.5: 1,000,000.00)</t>
        </is>
      </c>
      <c r="B12" s="25" t="n">
        <v>3808288656.15</v>
      </c>
      <c r="C12" s="25" t="n">
        <v>3809288656.15</v>
      </c>
      <c r="D12" s="22" t="n">
        <v>1</v>
      </c>
      <c r="E12" s="26">
        <f>IF(ABS(B12-C12)&lt;=D12,"PASS","FAIL")</f>
        <v/>
      </c>
      <c r="F12" s="22" t="inlineStr"/>
    </row>
    <row r="13">
      <c r="A13" s="22" t="inlineStr">
        <is>
          <t>Loan book 1050401 at 31 Dec 2025 against the trial balance</t>
        </is>
      </c>
      <c r="B13" s="25" t="n">
        <v>1827148120.69</v>
      </c>
      <c r="C13" s="25" t="n">
        <v>1827148120.69</v>
      </c>
      <c r="D13" s="22" t="n">
        <v>1</v>
      </c>
      <c r="E13" s="26">
        <f>IF(ABS(B13-C13)&lt;=D13,"PASS","FAIL")</f>
        <v/>
      </c>
      <c r="F13" s="22" t="inlineStr"/>
    </row>
  </sheetData>
  <conditionalFormatting sqref="E5:E13">
    <cfRule type="expression" priority="1" dxfId="0">
      <formula>$E5="PASS"</formula>
    </cfRule>
    <cfRule type="expression" priority="2" dxfId="2">
      <formula>$E5="FAIL"</formula>
    </cfRule>
  </conditionalFormatting>
  <hyperlinks>
    <hyperlink ref="A2" location="'Contents'!A1" display="Back to Contents"/>
  </hyperlink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2026-10-08T22:03:49Z</dcterms:created>
  <dcterms:modified xmlns:dcterms="http://purl.org/dc/terms/" xmlns:xsi="http://www.w3.org/2001/XMLSchema-instance" xsi:type="dcterms:W3CDTF">2026-10-08T22:03:49Z</dcterms:modified>
</cp:coreProperties>
</file>