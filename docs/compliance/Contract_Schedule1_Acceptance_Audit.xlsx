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Audit" sheetId="2" state="visible" r:id="rId2"/>
    <sheet xmlns:r="http://schemas.openxmlformats.org/officeDocument/2006/relationships" name="Findings" sheetId="3" state="visible" r:id="rId3"/>
    <sheet xmlns:r="http://schemas.openxmlformats.org/officeDocument/2006/relationships" name="Baselines" sheetId="4" state="visible" r:id="rId4"/>
  </sheets>
  <definedNames>
    <definedName name="_xlnm._FilterDatabase" localSheetId="1" hidden="1">'Audit'!$A$4:$K$27</definedName>
    <definedName name="_xlnm.Print_Titles" localSheetId="1">'Audit'!$4:$4</definedName>
    <definedName name="_xlnm.Print_Titles" localSheetId="2">'Findings'!$4:$4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2B1A"/>
      <sz val="13"/>
    </font>
    <font>
      <name val="Arial"/>
      <i val="1"/>
      <color rgb="00595959"/>
      <sz val="9"/>
    </font>
    <font>
      <name val="Arial"/>
      <color rgb="000563C1"/>
      <sz val="9"/>
      <u val="single"/>
    </font>
    <font>
      <name val="Arial"/>
      <b val="1"/>
      <color rgb="00FFFFFF"/>
      <sz val="10"/>
    </font>
    <font>
      <name val="Arial"/>
      <b val="1"/>
      <color rgb="000B2B1A"/>
      <sz val="10"/>
    </font>
    <font>
      <name val="Arial"/>
      <sz val="9"/>
    </font>
    <font>
      <name val="Arial"/>
      <b val="1"/>
      <sz val="9"/>
    </font>
    <font>
      <name val="Arial"/>
      <b val="1"/>
      <color rgb="000B2B1A"/>
      <sz val="14"/>
    </font>
    <font>
      <name val="Arial"/>
      <i val="1"/>
      <color rgb="00595959"/>
      <sz val="8"/>
    </font>
  </fonts>
  <fills count="9">
    <fill>
      <patternFill/>
    </fill>
    <fill>
      <patternFill patternType="gray125"/>
    </fill>
    <fill>
      <patternFill patternType="solid">
        <fgColor rgb="000B2B1A"/>
      </patternFill>
    </fill>
    <fill>
      <patternFill patternType="solid">
        <fgColor rgb="00FBF0E4"/>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8" fillId="0" borderId="0" pivotButton="0" quotePrefix="0" xfId="0"/>
    <xf numFmtId="0" fontId="2" fillId="0" borderId="0" pivotButton="0" quotePrefix="0" xfId="0"/>
    <xf numFmtId="0" fontId="5" fillId="0" borderId="0" pivotButton="0" quotePrefix="0" xfId="0"/>
    <xf numFmtId="0" fontId="5" fillId="0" borderId="0" applyAlignment="1" pivotButton="0" quotePrefix="0" xfId="0">
      <alignment horizontal="center"/>
    </xf>
    <xf numFmtId="0" fontId="7" fillId="4" borderId="1" pivotButton="0" quotePrefix="0" xfId="0"/>
    <xf numFmtId="0" fontId="6" fillId="0" borderId="0" applyAlignment="1" pivotButton="0" quotePrefix="0" xfId="0">
      <alignment vertical="top" wrapText="1"/>
    </xf>
    <xf numFmtId="0" fontId="7" fillId="0" borderId="0" applyAlignment="1" pivotButton="0" quotePrefix="0" xfId="0">
      <alignment horizontal="center" vertical="top"/>
    </xf>
    <xf numFmtId="0" fontId="7" fillId="5" borderId="1" pivotButton="0" quotePrefix="0" xfId="0"/>
    <xf numFmtId="0" fontId="7" fillId="6" borderId="1" pivotButton="0" quotePrefix="0" xfId="0"/>
    <xf numFmtId="0" fontId="7" fillId="7" borderId="1" pivotButton="0" quotePrefix="0" xfId="0"/>
    <xf numFmtId="0" fontId="7" fillId="8" borderId="1" pivotButton="0" quotePrefix="0" xfId="0"/>
    <xf numFmtId="0" fontId="7" fillId="0" borderId="0" pivotButton="0" quotePrefix="0" xfId="0"/>
    <xf numFmtId="0" fontId="7" fillId="0" borderId="0" applyAlignment="1" pivotButton="0" quotePrefix="0" xfId="0">
      <alignment horizontal="center"/>
    </xf>
    <xf numFmtId="0" fontId="4" fillId="2" borderId="1" applyAlignment="1" pivotButton="0" quotePrefix="0" xfId="0">
      <alignment vertical="center" wrapText="1"/>
    </xf>
    <xf numFmtId="0" fontId="5" fillId="3" borderId="0" pivotButton="0" quotePrefix="0" xfId="0"/>
    <xf numFmtId="0" fontId="6" fillId="0" borderId="1" pivotButton="0" quotePrefix="0" xfId="0"/>
    <xf numFmtId="0" fontId="3" fillId="0" borderId="1" pivotButton="0" quotePrefix="0" xfId="0"/>
    <xf numFmtId="0" fontId="3" fillId="0" borderId="0" pivotButton="0" quotePrefix="0" xfId="0"/>
    <xf numFmtId="0" fontId="9" fillId="0" borderId="0" pivotButton="0" quotePrefix="0" xfId="0"/>
    <xf numFmtId="0" fontId="1" fillId="0" borderId="0" pivotButton="0" quotePrefix="0" xfId="0"/>
    <xf numFmtId="0" fontId="2"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3" fillId="0" borderId="1" applyAlignment="1" pivotButton="0" quotePrefix="0" xfId="0">
      <alignment vertical="top" wrapText="1"/>
    </xf>
    <xf numFmtId="4" fontId="6" fillId="0" borderId="1" applyAlignment="1" pivotButton="0" quotePrefix="0" xfId="0">
      <alignment vertical="top" wrapText="1"/>
    </xf>
    <xf numFmtId="0" fontId="7" fillId="0" borderId="1" pivotButton="0" quotePrefix="0" xfId="0"/>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8860B"/>
    <outlinePr summaryBelow="1" summaryRight="1"/>
    <pageSetUpPr fitToPage="1"/>
  </sheetPr>
  <dimension ref="A1:D40"/>
  <sheetViews>
    <sheetView showGridLines="0" workbookViewId="0">
      <pane ySplit="2" topLeftCell="A3" activePane="bottomLeft" state="frozen"/>
      <selection pane="bottomLeft" activeCell="A1" sqref="A1"/>
    </sheetView>
  </sheetViews>
  <sheetFormatPr baseColWidth="8" defaultRowHeight="15"/>
  <cols>
    <col width="30" customWidth="1" min="1" max="1"/>
    <col width="62" customWidth="1" min="2" max="2"/>
    <col width="30" customWidth="1" min="3" max="3"/>
    <col width="16" customWidth="1" min="4" max="4"/>
  </cols>
  <sheetData>
    <row r="1">
      <c r="A1" s="1" t="inlineStr">
        <is>
          <t>Contract Schedule 1 - deliverables and acceptance - compliance audit</t>
        </is>
      </c>
    </row>
    <row r="2">
      <c r="A2" s="2" t="inlineStr">
        <is>
          <t>Contents (the standard's own order of sections). Click a section to open its row on the Audit sheet.</t>
        </is>
      </c>
    </row>
    <row r="4">
      <c r="A4" s="3" t="inlineStr">
        <is>
          <t>Status definitions</t>
        </is>
      </c>
      <c r="C4" s="4" t="inlineStr">
        <is>
          <t>Sections</t>
        </is>
      </c>
    </row>
    <row r="5" ht="26" customHeight="1">
      <c r="A5" s="5" t="inlineStr">
        <is>
          <t>Done</t>
        </is>
      </c>
      <c r="B5" s="6" t="inlineStr">
        <is>
          <t>Implemented in the system and visible in an approved output; the test in column 11 fails if the behaviour changes.</t>
        </is>
      </c>
      <c r="C5" s="7">
        <f>COUNTIF(Audit!$D:$D,"Done")</f>
        <v/>
      </c>
    </row>
    <row r="6" ht="26" customHeight="1">
      <c r="A6" s="8" t="inlineStr">
        <is>
          <t>Partially done</t>
        </is>
      </c>
      <c r="B6" s="6" t="inlineStr">
        <is>
          <t>The mechanics are in place, but a parameter, an input or a piece of evidence still differs from the requirement.</t>
        </is>
      </c>
      <c r="C6" s="7">
        <f>COUNTIF(Audit!$D:$D,"Partially done")</f>
        <v/>
      </c>
    </row>
    <row r="7" ht="26" customHeight="1">
      <c r="A7" s="9" t="inlineStr">
        <is>
          <t>Outstanding</t>
        </is>
      </c>
      <c r="B7" s="6" t="inlineStr">
        <is>
          <t>Required for MAIIC and not built.</t>
        </is>
      </c>
      <c r="C7" s="7">
        <f>COUNTIF(Audit!$D:$D,"Outstanding")</f>
        <v/>
      </c>
    </row>
    <row r="8" ht="26" customHeight="1">
      <c r="A8" s="10" t="inlineStr">
        <is>
          <t>Not applicable, documented</t>
        </is>
      </c>
      <c r="B8" s="6" t="inlineStr">
        <is>
          <t>Does not apply to MAIIC by a recorded decision or fact (reason and reference given); revisit if the facts change.</t>
        </is>
      </c>
      <c r="C8" s="7">
        <f>COUNTIF(Audit!$D:$D,"Not applicable, documented")</f>
        <v/>
      </c>
    </row>
    <row r="9" ht="26" customHeight="1">
      <c r="A9" s="11" t="inlineStr">
        <is>
          <t>Evidence needed from MAIIC</t>
        </is>
      </c>
      <c r="B9" s="6" t="inlineStr">
        <is>
          <t>The system is ready; MAIIC must supply a document, minute or dataset before the row can be closed.</t>
        </is>
      </c>
      <c r="C9" s="7">
        <f>COUNTIF(Audit!$D:$D,"Evidence needed from MAIIC")</f>
        <v/>
      </c>
    </row>
    <row r="10">
      <c r="A10" s="12" t="inlineStr">
        <is>
          <t>Sections audited</t>
        </is>
      </c>
      <c r="C10" s="13">
        <f>COUNTA(Audit!$A$5:$A$27)-3</f>
        <v/>
      </c>
    </row>
    <row r="11">
      <c r="A11" s="12" t="inlineStr">
        <is>
          <t>Baselines passing</t>
        </is>
      </c>
      <c r="C11" s="13">
        <f>COUNTIF(Baselines!$E:$E,"PASS")&amp;" of "&amp;COUNTA(Baselines!$A$5:$A$500)</f>
        <v/>
      </c>
    </row>
    <row r="13">
      <c r="A13" s="14" t="inlineStr">
        <is>
          <t>Ref</t>
        </is>
      </c>
      <c r="B13" s="14" t="inlineStr">
        <is>
          <t>Section</t>
        </is>
      </c>
      <c r="C13" s="14" t="inlineStr">
        <is>
          <t>Status</t>
        </is>
      </c>
      <c r="D13" s="14" t="inlineStr">
        <is>
          <t>Open in Audit</t>
        </is>
      </c>
    </row>
    <row r="14">
      <c r="A14" s="15" t="inlineStr">
        <is>
          <t>SOLUTION COMPONENTS</t>
        </is>
      </c>
    </row>
    <row r="15">
      <c r="A15" s="16" t="inlineStr">
        <is>
          <t>S1.1</t>
        </is>
      </c>
      <c r="B15" s="17" t="inlineStr">
        <is>
          <t>Data import and onboarding</t>
        </is>
      </c>
      <c r="C15" s="16">
        <f>Audit!D6</f>
        <v/>
      </c>
      <c r="D15" s="17" t="inlineStr">
        <is>
          <t>Audit row 6</t>
        </is>
      </c>
    </row>
    <row r="16">
      <c r="A16" s="16" t="inlineStr">
        <is>
          <t>S1.2</t>
        </is>
      </c>
      <c r="B16" s="17" t="inlineStr">
        <is>
          <t>Collateral module</t>
        </is>
      </c>
      <c r="C16" s="16">
        <f>Audit!D7</f>
        <v/>
      </c>
      <c r="D16" s="17" t="inlineStr">
        <is>
          <t>Audit row 7</t>
        </is>
      </c>
    </row>
    <row r="17">
      <c r="A17" s="16" t="inlineStr">
        <is>
          <t>S1.3</t>
        </is>
      </c>
      <c r="B17" s="17" t="inlineStr">
        <is>
          <t>EIR module and revenue recognition</t>
        </is>
      </c>
      <c r="C17" s="16">
        <f>Audit!D8</f>
        <v/>
      </c>
      <c r="D17" s="17" t="inlineStr">
        <is>
          <t>Audit row 8</t>
        </is>
      </c>
    </row>
    <row r="18">
      <c r="A18" s="16" t="inlineStr">
        <is>
          <t>S1.4</t>
        </is>
      </c>
      <c r="B18" s="17" t="inlineStr">
        <is>
          <t>IFRS 9 model set-up: SICR and staging, PD, LGD, forward-looking information</t>
        </is>
      </c>
      <c r="C18" s="16">
        <f>Audit!D9</f>
        <v/>
      </c>
      <c r="D18" s="17" t="inlineStr">
        <is>
          <t>Audit row 9</t>
        </is>
      </c>
    </row>
    <row r="19">
      <c r="A19" s="16" t="inlineStr">
        <is>
          <t>S1.5</t>
        </is>
      </c>
      <c r="B19" s="17" t="inlineStr">
        <is>
          <t>ECL engine</t>
        </is>
      </c>
      <c r="C19" s="16">
        <f>Audit!D10</f>
        <v/>
      </c>
      <c r="D19" s="17" t="inlineStr">
        <is>
          <t>Audit row 10</t>
        </is>
      </c>
    </row>
    <row r="20">
      <c r="A20" s="16" t="inlineStr">
        <is>
          <t>S1.6</t>
        </is>
      </c>
      <c r="B20" s="17" t="inlineStr">
        <is>
          <t>Reports</t>
        </is>
      </c>
      <c r="C20" s="16">
        <f>Audit!D11</f>
        <v/>
      </c>
      <c r="D20" s="17" t="inlineStr">
        <is>
          <t>Audit row 11</t>
        </is>
      </c>
    </row>
    <row r="21">
      <c r="A21" s="16" t="inlineStr">
        <is>
          <t>S1.7</t>
        </is>
      </c>
      <c r="B21" s="17" t="inlineStr">
        <is>
          <t>Audit trail</t>
        </is>
      </c>
      <c r="C21" s="16">
        <f>Audit!D12</f>
        <v/>
      </c>
      <c r="D21" s="17" t="inlineStr">
        <is>
          <t>Audit row 12</t>
        </is>
      </c>
    </row>
    <row r="22">
      <c r="A22" s="16" t="inlineStr">
        <is>
          <t>S1.8</t>
        </is>
      </c>
      <c r="B22" s="17" t="inlineStr">
        <is>
          <t>Dashboard and workspace</t>
        </is>
      </c>
      <c r="C22" s="16">
        <f>Audit!D13</f>
        <v/>
      </c>
      <c r="D22" s="17" t="inlineStr">
        <is>
          <t>Audit row 13</t>
        </is>
      </c>
    </row>
    <row r="23">
      <c r="A23" s="16" t="inlineStr">
        <is>
          <t>S1.9</t>
        </is>
      </c>
      <c r="B23" s="17" t="inlineStr">
        <is>
          <t>User and access management; operations</t>
        </is>
      </c>
      <c r="C23" s="16">
        <f>Audit!D14</f>
        <v/>
      </c>
      <c r="D23" s="17" t="inlineStr">
        <is>
          <t>Audit row 14</t>
        </is>
      </c>
    </row>
    <row r="24">
      <c r="A24" s="16" t="inlineStr">
        <is>
          <t>S1.10</t>
        </is>
      </c>
      <c r="B24" s="17" t="inlineStr">
        <is>
          <t>Internal grading</t>
        </is>
      </c>
      <c r="C24" s="16">
        <f>Audit!D15</f>
        <v/>
      </c>
      <c r="D24" s="17" t="inlineStr">
        <is>
          <t>Audit row 15</t>
        </is>
      </c>
    </row>
    <row r="25">
      <c r="A25" s="16" t="inlineStr">
        <is>
          <t>S1.11</t>
        </is>
      </c>
      <c r="B25" s="17" t="inlineStr">
        <is>
          <t>EAD module</t>
        </is>
      </c>
      <c r="C25" s="16">
        <f>Audit!D16</f>
        <v/>
      </c>
      <c r="D25" s="17" t="inlineStr">
        <is>
          <t>Audit row 16</t>
        </is>
      </c>
    </row>
    <row r="26">
      <c r="A26" s="16" t="inlineStr">
        <is>
          <t>S1.12</t>
        </is>
      </c>
      <c r="B26" s="17" t="inlineStr">
        <is>
          <t>Support</t>
        </is>
      </c>
      <c r="C26" s="16">
        <f>Audit!D17</f>
        <v/>
      </c>
      <c r="D26" s="17" t="inlineStr">
        <is>
          <t>Audit row 17</t>
        </is>
      </c>
    </row>
    <row r="27">
      <c r="A27" s="16" t="inlineStr">
        <is>
          <t>S1.13</t>
        </is>
      </c>
      <c r="B27" s="17" t="inlineStr">
        <is>
          <t>The Mega Farm programme</t>
        </is>
      </c>
      <c r="C27" s="16">
        <f>Audit!D18</f>
        <v/>
      </c>
      <c r="D27" s="17" t="inlineStr">
        <is>
          <t>Audit row 18</t>
        </is>
      </c>
    </row>
    <row r="28">
      <c r="A28" s="16" t="inlineStr">
        <is>
          <t>S1.14</t>
        </is>
      </c>
      <c r="B28" s="17" t="inlineStr">
        <is>
          <t>Annual report alignment</t>
        </is>
      </c>
      <c r="C28" s="16">
        <f>Audit!D19</f>
        <v/>
      </c>
      <c r="D28" s="17" t="inlineStr">
        <is>
          <t>Audit row 19</t>
        </is>
      </c>
    </row>
    <row r="29">
      <c r="A29" s="15" t="inlineStr">
        <is>
          <t>DELIVERABLES</t>
        </is>
      </c>
    </row>
    <row r="30">
      <c r="A30" s="16" t="inlineStr">
        <is>
          <t>D2</t>
        </is>
      </c>
      <c r="B30" s="17" t="inlineStr">
        <is>
          <t>Migration reconciliation report</t>
        </is>
      </c>
      <c r="C30" s="16">
        <f>Audit!D21</f>
        <v/>
      </c>
      <c r="D30" s="17" t="inlineStr">
        <is>
          <t>Audit row 21</t>
        </is>
      </c>
    </row>
    <row r="31">
      <c r="A31" s="16" t="inlineStr">
        <is>
          <t>D5</t>
        </is>
      </c>
      <c r="B31" s="17" t="inlineStr">
        <is>
          <t>User manual</t>
        </is>
      </c>
      <c r="C31" s="16">
        <f>Audit!D22</f>
        <v/>
      </c>
      <c r="D31" s="17" t="inlineStr">
        <is>
          <t>Audit row 22</t>
        </is>
      </c>
    </row>
    <row r="32">
      <c r="A32" s="16" t="inlineStr">
        <is>
          <t>D6</t>
        </is>
      </c>
      <c r="B32" s="17" t="inlineStr">
        <is>
          <t>Administrator and Technical Manual</t>
        </is>
      </c>
      <c r="C32" s="16">
        <f>Audit!D23</f>
        <v/>
      </c>
      <c r="D32" s="17" t="inlineStr">
        <is>
          <t>Audit row 23</t>
        </is>
      </c>
    </row>
    <row r="33">
      <c r="A33" s="16" t="inlineStr">
        <is>
          <t>D7</t>
        </is>
      </c>
      <c r="B33" s="17" t="inlineStr">
        <is>
          <t>Installation and Configuration Guide</t>
        </is>
      </c>
      <c r="C33" s="16">
        <f>Audit!D24</f>
        <v/>
      </c>
      <c r="D33" s="17" t="inlineStr">
        <is>
          <t>Audit row 24</t>
        </is>
      </c>
    </row>
    <row r="34">
      <c r="A34" s="16" t="inlineStr">
        <is>
          <t>P10</t>
        </is>
      </c>
      <c r="B34" s="17" t="inlineStr">
        <is>
          <t>Deployment, training and source code</t>
        </is>
      </c>
      <c r="C34" s="16">
        <f>Audit!D25</f>
        <v/>
      </c>
      <c r="D34" s="17" t="inlineStr">
        <is>
          <t>Audit row 25</t>
        </is>
      </c>
    </row>
    <row r="35">
      <c r="A35" s="15" t="inlineStr">
        <is>
          <t>ACCEPTANCE</t>
        </is>
      </c>
    </row>
    <row r="36">
      <c r="A36" s="16" t="inlineStr">
        <is>
          <t>A1</t>
        </is>
      </c>
      <c r="B36" s="17" t="inlineStr">
        <is>
          <t>The specification's acceptance tests</t>
        </is>
      </c>
      <c r="C36" s="16">
        <f>Audit!D27</f>
        <v/>
      </c>
      <c r="D36" s="17" t="inlineStr">
        <is>
          <t>Audit row 27</t>
        </is>
      </c>
    </row>
    <row r="38">
      <c r="A38" s="18" t="inlineStr">
        <is>
          <t>Findings that need a decision or a fix: see the 'Findings' sheet</t>
        </is>
      </c>
    </row>
    <row r="39">
      <c r="A39" s="18" t="inlineStr">
        <is>
          <t>The acceptance ties read from the system: see the 'Baselines' sheet</t>
        </is>
      </c>
    </row>
    <row r="40">
      <c r="A40" s="19" t="inlineStr">
        <is>
          <t>Source: The implementation agreement between MAIIC and Dupleix Institute, Schedule 1 (solution components; deliverable 2 the migration reconciliation report; deliverables 5, 6 and 7 the manuals), as the manuals cite it. Spec v4 section 8 (the build plan, P4b to P10) and section 12.</t>
        </is>
      </c>
    </row>
  </sheetData>
  <mergeCells count="3">
    <mergeCell ref="A29:D29"/>
    <mergeCell ref="A35:D35"/>
    <mergeCell ref="A14:D14"/>
  </mergeCells>
  <conditionalFormatting sqref="C14:C37">
    <cfRule type="expression" priority="1" dxfId="0">
      <formula>$C14="Done"</formula>
    </cfRule>
    <cfRule type="expression" priority="2" dxfId="1">
      <formula>$C14="Partially done"</formula>
    </cfRule>
    <cfRule type="expression" priority="3" dxfId="2">
      <formula>$C14="Outstanding"</formula>
    </cfRule>
    <cfRule type="expression" priority="4" dxfId="3">
      <formula>$C14="Not applicable, documented"</formula>
    </cfRule>
    <cfRule type="expression" priority="5" dxfId="4">
      <formula>$C14="Evidence needed from MAIIC"</formula>
    </cfRule>
  </conditionalFormatting>
  <hyperlinks>
    <hyperlink ref="B15" location="'Audit'!A6" display="Data import and onboarding"/>
    <hyperlink ref="D15" location="'Audit'!A6" display="Audit row 6"/>
    <hyperlink ref="B16" location="'Audit'!A7" display="Collateral module"/>
    <hyperlink ref="D16" location="'Audit'!A7" display="Audit row 7"/>
    <hyperlink ref="B17" location="'Audit'!A8" display="EIR module and revenue recognition"/>
    <hyperlink ref="D17" location="'Audit'!A8" display="Audit row 8"/>
    <hyperlink ref="B18" location="'Audit'!A9" display="IFRS 9 model set-up: SICR and staging, PD, LGD, forward-looking information"/>
    <hyperlink ref="D18" location="'Audit'!A9" display="Audit row 9"/>
    <hyperlink ref="B19" location="'Audit'!A10" display="ECL engine"/>
    <hyperlink ref="D19" location="'Audit'!A10" display="Audit row 10"/>
    <hyperlink ref="B20" location="'Audit'!A11" display="Reports"/>
    <hyperlink ref="D20" location="'Audit'!A11" display="Audit row 11"/>
    <hyperlink ref="B21" location="'Audit'!A12" display="Audit trail"/>
    <hyperlink ref="D21" location="'Audit'!A12" display="Audit row 12"/>
    <hyperlink ref="B22" location="'Audit'!A13" display="Dashboard and workspace"/>
    <hyperlink ref="D22" location="'Audit'!A13" display="Audit row 13"/>
    <hyperlink ref="B23" location="'Audit'!A14" display="User and access management; operations"/>
    <hyperlink ref="D23" location="'Audit'!A14" display="Audit row 14"/>
    <hyperlink ref="B24" location="'Audit'!A15" display="Internal grading"/>
    <hyperlink ref="D24" location="'Audit'!A15" display="Audit row 15"/>
    <hyperlink ref="B25" location="'Audit'!A16" display="EAD module"/>
    <hyperlink ref="D25" location="'Audit'!A16" display="Audit row 16"/>
    <hyperlink ref="B26" location="'Audit'!A17" display="Support"/>
    <hyperlink ref="D26" location="'Audit'!A17" display="Audit row 17"/>
    <hyperlink ref="B27" location="'Audit'!A18" display="The Mega Farm programme"/>
    <hyperlink ref="D27" location="'Audit'!A18" display="Audit row 18"/>
    <hyperlink ref="B28" location="'Audit'!A19" display="Annual report alignment"/>
    <hyperlink ref="D28" location="'Audit'!A19" display="Audit row 19"/>
    <hyperlink ref="B30" location="'Audit'!A21" display="Migration reconciliation report"/>
    <hyperlink ref="D30" location="'Audit'!A21" display="Audit row 21"/>
    <hyperlink ref="B31" location="'Audit'!A22" display="User manual"/>
    <hyperlink ref="D31" location="'Audit'!A22" display="Audit row 22"/>
    <hyperlink ref="B32" location="'Audit'!A23" display="Administrator and Technical Manual"/>
    <hyperlink ref="D32" location="'Audit'!A23" display="Audit row 23"/>
    <hyperlink ref="B33" location="'Audit'!A24" display="Installation and Configuration Guide"/>
    <hyperlink ref="D33" location="'Audit'!A24" display="Audit row 24"/>
    <hyperlink ref="B34" location="'Audit'!A25" display="Deployment, training and source code"/>
    <hyperlink ref="D34" location="'Audit'!A25" display="Audit row 25"/>
    <hyperlink ref="B36" location="'Audit'!A27" display="The specification's acceptance tests"/>
    <hyperlink ref="D36" location="'Audit'!A27" display="Audit row 27"/>
    <hyperlink ref="A38" location="'Findings'!A1" display="Findings that need a decision or a fix: see the 'Findings' sheet"/>
    <hyperlink ref="A39" location="'Baselines'!A1" display="The acceptance ties read from the system: see the 'Baselines' sheet"/>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0B2B1A"/>
    <outlinePr summaryBelow="1" summaryRight="1"/>
    <pageSetUpPr fitToPage="1"/>
  </sheetPr>
  <dimension ref="A1:K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56" customWidth="1" min="3" max="3"/>
    <col width="22" customWidth="1" min="4" max="4"/>
    <col width="58" customWidth="1" min="5" max="5"/>
    <col width="36" customWidth="1" min="6" max="6"/>
    <col width="42" customWidth="1" min="7" max="7"/>
    <col width="46" customWidth="1" min="8" max="8"/>
    <col width="20" customWidth="1" min="9" max="9"/>
    <col width="30" customWidth="1" min="10" max="10"/>
    <col width="44" customWidth="1" min="11" max="11"/>
  </cols>
  <sheetData>
    <row r="1">
      <c r="A1" s="20" t="inlineStr">
        <is>
          <t>The MAIIC-Dupleix implementation agreement, Schedule 1: solution components and deliverables, each with the screen, document or test that discharges it - compliance audit</t>
        </is>
      </c>
    </row>
    <row r="2" ht="30" customHeight="1">
      <c r="A2" s="21" t="inlineStr">
        <is>
          <t>Malawi Agricultural and Industrial Investment Company (MAIIC) - IFRS 9 EIR and ECL system - build of 14 October 2026 (branch eir_revenue_recognition, commit abe140d) against specification v4. As of 14 October 2026: the code at commit abe140d (branch eir_revenue_recognition) and the fresh bootstrap maiic_ifrs9_results2 of 13 October 2026 (made before commit 216aee2), read with SELECTs only. The clause numbers of the signed schedule are to be confirmed at acceptance (P9); the deliverable numbers are those the manuals carry. Reviewer: Dr Thomson Kumwenda (CFO), at acceptance. Status definitions: see 'Contents'.</t>
        </is>
      </c>
    </row>
    <row r="3">
      <c r="A3" s="18" t="inlineStr">
        <is>
          <t>Back to Contents</t>
        </is>
      </c>
    </row>
    <row r="4" ht="34" customHeight="1">
      <c r="A4" s="14" t="inlineStr">
        <is>
          <t>Reference</t>
        </is>
      </c>
      <c r="B4" s="14" t="inlineStr">
        <is>
          <t>Section name</t>
        </is>
      </c>
      <c r="C4" s="14" t="inlineStr">
        <is>
          <t>What it requires</t>
        </is>
      </c>
      <c r="D4" s="14" t="inlineStr">
        <is>
          <t>Status</t>
        </is>
      </c>
      <c r="E4" s="14" t="inlineStr">
        <is>
          <t>What the engine does (evidence checked)</t>
        </is>
      </c>
      <c r="F4" s="14" t="inlineStr">
        <is>
          <t>General comment</t>
        </is>
      </c>
      <c r="G4" s="14" t="inlineStr">
        <is>
          <t>Compliance comment</t>
        </is>
      </c>
      <c r="H4" s="14" t="inlineStr">
        <is>
          <t>Where to see it (screen; report or export)</t>
        </is>
      </c>
      <c r="I4" s="14" t="inlineStr">
        <is>
          <t>Reviewer sign-off (initials / date)</t>
        </is>
      </c>
      <c r="J4" s="14" t="inlineStr">
        <is>
          <t>Governance setting</t>
        </is>
      </c>
      <c r="K4" s="14" t="inlineStr">
        <is>
          <t>Test that proves it</t>
        </is>
      </c>
    </row>
    <row r="5">
      <c r="A5" s="15" t="inlineStr">
        <is>
          <t>SOLUTION COMPONENTS</t>
        </is>
      </c>
    </row>
    <row r="6">
      <c r="A6" s="22" t="inlineStr">
        <is>
          <t>S1.1</t>
        </is>
      </c>
      <c r="B6" s="22" t="inlineStr">
        <is>
          <t>Data import and onboarding</t>
        </is>
      </c>
      <c r="C6" s="22" t="inlineStr">
        <is>
          <t>Load the client's loan book, customer and transaction data into the system with validation.</t>
        </is>
      </c>
      <c r="D6" s="23" t="inlineStr">
        <is>
          <t>Done</t>
        </is>
      </c>
      <c r="E6" s="22" t="inlineStr">
        <is>
          <t>The E-Banker landing zone with its gates (hash, row count, query register, dates, keys); packs 2 to 4 land in the bootstrap (Bootstrap::landLaterPacks); the loan book built from the ledger for every month from July 2024; the take-on workbook landed cell by cell; the monthly trial balances through their own screen (EIR Data, Trial Balances; TrialBalanceLandingService); every import has a sample file and a check that refuses a bad file before anything is written. Feed routes 1 to 3 are built (manual upload, folder poll, API inbox); routes 4 and 5 are catalogue options only.</t>
        </is>
      </c>
      <c r="F6" s="22" t="inlineStr"/>
      <c r="G6" s="22" t="inlineStr">
        <is>
          <t>Compliant.</t>
        </is>
      </c>
      <c r="H6" s="22" t="inlineStr">
        <is>
          <t>Customer &amp; Loan Data, Imports &amp; Feeds: /imports, /eir-feed, /eir-takeon; EIR Data, Trial Balances: /eir-trial-balances</t>
        </is>
      </c>
      <c r="I6" s="22" t="inlineStr"/>
      <c r="J6" s="22" t="inlineStr">
        <is>
          <t>ebanker_feed_route; loan_book_build_method</t>
        </is>
      </c>
      <c r="K6" s="22" t="inlineStr">
        <is>
          <t>Tests\Feature\Ebanker\PackLandingServiceTest::test_a_tampered_hash_quarantines_the_pack_and_keeps_its_rows_where_no_reader_sees_them; Tests\Feature\Ebanker\TrialBalanceLandingServiceTest; Tests\Feature\Imports\ImportValidationTest::test_the_check_endpoint_writes_nothing_and_a_clean_file_passes</t>
        </is>
      </c>
    </row>
    <row r="7">
      <c r="A7" s="22" t="inlineStr">
        <is>
          <t>S1.2</t>
        </is>
      </c>
      <c r="B7" s="22" t="inlineStr">
        <is>
          <t>Collateral module</t>
        </is>
      </c>
      <c r="C7" s="22" t="inlineStr">
        <is>
          <t>Register collateral, its types and its allocation to facilities.</t>
        </is>
      </c>
      <c r="D7" s="23" t="inlineStr">
        <is>
          <t>Partially done</t>
        </is>
      </c>
      <c r="E7" s="22" t="inlineStr">
        <is>
          <t>The collateral register, types and allocation screens exist with a checked import; the E-Banker security register (P2_11, 185 rows) is landed. On the fresh bootstrap collateral_registers and collateral_allocations are empty, and the LGD engine reads no collateral. An uncommitted migration (collateral type code as text) is in the working tree.</t>
        </is>
      </c>
      <c r="F7" s="22" t="inlineStr">
        <is>
          <t>Fresh bootstrap maiic_ifrs9_results2 (13 October 2026, before commit 216aee2).</t>
        </is>
      </c>
      <c r="G7" s="22" t="inlineStr">
        <is>
          <t>Partially done: Credit completes the data; Dupleix links collateral to the LGD.</t>
        </is>
      </c>
      <c r="H7" s="22" t="inlineStr">
        <is>
          <t>Collateral Management, Collateral Register: /collateral/register</t>
        </is>
      </c>
      <c r="I7" s="22" t="inlineStr"/>
      <c r="J7" s="22" t="inlineStr"/>
      <c r="K7" s="22" t="inlineStr">
        <is>
          <t>Tests\Feature\Imports\ImportValidationTest::test_a_collateral_file_missing_a_required_column_is_refused_and_nothing_is_written</t>
        </is>
      </c>
    </row>
    <row r="8">
      <c r="A8" s="22" t="inlineStr">
        <is>
          <t>S1.3</t>
        </is>
      </c>
      <c r="B8" s="22" t="inlineStr">
        <is>
          <t>EIR module and revenue recognition</t>
        </is>
      </c>
      <c r="C8" s="22" t="inlineStr">
        <is>
          <t>Solve the EIR per facility from its contractual flows and fees, roll the amortised cost forward monthly, and reconcile to the general ledger.</t>
        </is>
      </c>
      <c r="D8" s="23" t="inlineStr">
        <is>
          <t>Partially done</t>
        </is>
      </c>
      <c r="E8" s="22" t="inlineStr">
        <is>
          <t>Built: the EIR solver on dated flows (tranche-timed and take-on EIRs, 216aee2), the fee routes with source precedence, the monthly roll-forward with ledger cash, the GL reconciliation, the EIR as at any date, write-offs classified. Built 14 October 2026 (uncommitted): the restructure register and rate-reset register with maker-checker, modification, derecognition and the B5.4.6 catch-up in the revenue run, detection in the bootstrap and the month-end (nothing confirmed: 70 candidates await Credit on the scratch clone). Not built: the journal proposal (D6). On the fresh bootstrap 14 of 144 EIRs are locked, 33 are blocked at the fee gate and 97 have no approved schedule.</t>
        </is>
      </c>
      <c r="F8" s="22" t="inlineStr">
        <is>
          <t>Fresh bootstrap maiic_ifrs9_results2 (13 October 2026, before commit 216aee2). Until 14 October 2026 this row was Done and said '31 solved, 12 locked, 19 awaiting'.</t>
        </is>
      </c>
      <c r="G8" s="22" t="inlineStr">
        <is>
          <t>Partially done; see the IFRS 9 EIR workbook.</t>
        </is>
      </c>
      <c r="H8" s="22" t="inlineStr">
        <is>
          <t>EIR &amp; Revenue Recognition: /eir-calculations; /eir-as-at; /eir-reconciliation</t>
        </is>
      </c>
      <c r="I8" s="22" t="inlineStr"/>
      <c r="J8" s="22" t="inlineStr">
        <is>
          <t>day_count; stage3_interest_basis; fee_source_precedence; takeon_eir_plausibility; partly_drawn_interest_basis</t>
        </is>
      </c>
      <c r="K8" s="22" t="inlineStr">
        <is>
          <t>Tests\Feature\Eir\EirCalculationWorkflowTest; Tests\Feature\Eir\EirAsAtServiceTest; Tests\Feature\Eir\TakeonAndTrancheEirInputTest</t>
        </is>
      </c>
    </row>
    <row r="9">
      <c r="A9" s="22" t="inlineStr">
        <is>
          <t>S1.4</t>
        </is>
      </c>
      <c r="B9" s="22" t="inlineStr">
        <is>
          <t>IFRS 9 model set-up: SICR and staging, PD, LGD, forward-looking information</t>
        </is>
      </c>
      <c r="C9" s="22" t="inlineStr">
        <is>
          <t>Staging rules, PD, LGD and the forward-looking model, configurable and governed.</t>
        </is>
      </c>
      <c r="D9" s="23" t="inlineStr">
        <is>
          <t>Done</t>
        </is>
      </c>
      <c r="E9" s="22" t="inlineStr">
        <is>
          <t>Staging on the directive's thresholds (seeded rows, read-only on screen) with the governed day basis, missed-instalment trigger and cure period, reading E-Banker's instalment chart in force (216aee2); PD and LGD by segment on the governed basis, Mega Farm kept apart; the forward-looking chain (correlation, regression, guardrail), the transmission methods with their cards, the scenario sets; all governed in the Governance Centre, whose catalogue holds 61 settings (20 of which no engine reads; IFRS 9 EIR workbook S4).</t>
        </is>
      </c>
      <c r="F9" s="22" t="inlineStr">
        <is>
          <t>Until 14 October 2026 the row said 48 settings.</t>
        </is>
      </c>
      <c r="G9" s="22" t="inlineStr">
        <is>
          <t>Compliant.</t>
        </is>
      </c>
      <c r="H9" s="22" t="inlineStr">
        <is>
          <t>IFRS 9 Model Setup; Forward-Looking Information; Governance Centre: /eir-governance</t>
        </is>
      </c>
      <c r="I9" s="22" t="inlineStr"/>
      <c r="J9" s="22" t="inlineStr">
        <is>
          <t>dpd_basis; stage3_missed_instalments; stage_cure_months; pd_segmentation_basis; lgd_segment_min_cohort; fli_transmission_method</t>
        </is>
      </c>
      <c r="K9" s="22" t="inlineStr">
        <is>
          <t>Tests\Feature\Eir\GovernanceServiceTest; Tests\Feature\Pd\PdAndLgdEngineTest; Tests\Feature\Pd\PdSegmentationTest; Tests\Feature\FLI\FliRouteServiceTest</t>
        </is>
      </c>
    </row>
    <row r="10">
      <c r="A10" s="22" t="inlineStr">
        <is>
          <t>S1.5</t>
        </is>
      </c>
      <c r="B10" s="22" t="inlineStr">
        <is>
          <t>ECL engine</t>
        </is>
      </c>
      <c r="C10" s="22" t="inlineStr">
        <is>
          <t>Compute the expected credit loss per facility and in total, discounted, with the forward-looking adjustment and scenario weighting.</t>
        </is>
      </c>
      <c r="D10" s="23" t="inlineStr">
        <is>
          <t>Partially done</t>
        </is>
      </c>
      <c r="E10" s="22" t="inlineStr">
        <is>
          <t>The ECL per loan on the post-FLI PD, weighted across the scenarios, for every period, failing closed on a missing input; since 216aee2 the month-end runs discounted at the EIR and stores the discounted allowance beside the undiscounted measure. The reports and the IFRS 9 note still read the undiscounted ecl_value. On the fresh bootstrap the main book at September 2026 carries 11.57bn undiscounted and 7.12bn discounted on the 62 loans resolved (72 unresolved, before 216aee2).</t>
        </is>
      </c>
      <c r="F10" s="22" t="inlineStr">
        <is>
          <t>Fresh bootstrap maiic_ifrs9_results2 (13 October 2026, before commit 216aee2). Until 14 October 2026 this row was Done and quoted 8.94bn.</t>
        </is>
      </c>
      <c r="G10" s="22" t="inlineStr">
        <is>
          <t>Partially done: the reports must carry the discounted allowance; the figures await MAIIC's reviews.</t>
        </is>
      </c>
      <c r="H10" s="22" t="inlineStr">
        <is>
          <t>ECL Processing, ECL Calculation: /expected-credit-loss/list</t>
        </is>
      </c>
      <c r="I10" s="22" t="inlineStr"/>
      <c r="J10" s="22" t="inlineStr">
        <is>
          <t>scenario_weighting_method</t>
        </is>
      </c>
      <c r="K10" s="22" t="inlineStr">
        <is>
          <t>Tests\Feature\Ecl\TimePhasedEclServiceTest; Tests\Feature\Ecl\EclGoldenNumberTest::discounted_mode_without_the_time_phased_engine_is_refused_never_proxied; Tests\Feature\Scenario\ScenarioSetServiceTest</t>
        </is>
      </c>
    </row>
    <row r="11">
      <c r="A11" s="22" t="inlineStr">
        <is>
          <t>S1.6</t>
        </is>
      </c>
      <c r="B11" s="22" t="inlineStr">
        <is>
          <t>Reports</t>
        </is>
      </c>
      <c r="C11" s="22" t="inlineStr">
        <is>
          <t>The IFRS 9 disclosure, regulatory and management reports, exportable.</t>
        </is>
      </c>
      <c r="D11" s="23" t="inlineStr">
        <is>
          <t>Done</t>
        </is>
      </c>
      <c r="E11" s="22" t="inlineStr">
        <is>
          <t>29 reports in the Reports hub, each rendered by ifrs9:smoke-reports and downloadable as PDF and Excel; the IFRS 9 note; the RBM Return (provisional); the EIR as at a date and the GL reconciliation with their exports; the loan book and ECL reconciliations; stress testing; the auditor's pack. Content gaps are audited in the IFRS 7 and RBM workbooks (write-offs nil, undiscounted allowance, provisional return form).</t>
        </is>
      </c>
      <c r="F11" s="22" t="inlineStr">
        <is>
          <t>Until 14 October 2026 the row said thirty reports and cited an unrelated test.</t>
        </is>
      </c>
      <c r="G11" s="22" t="inlineStr">
        <is>
          <t>Compliant as a component.</t>
        </is>
      </c>
      <c r="H11" s="22" t="inlineStr">
        <is>
          <t>Reports: /ifrs9-reports; /rbm-return; /auditor-pack</t>
        </is>
      </c>
      <c r="I11" s="22" t="inlineStr"/>
      <c r="J11" s="22" t="inlineStr"/>
      <c r="K11" s="22" t="inlineStr">
        <is>
          <t>Tests\Feature\Ifrs9ReportDownloadTest::test_report_downloads_as_pdf; Tests\Feature\Pd\SegmentReportsRenderTest::test_the_reports_with_the_pd_parts_render_and_download</t>
        </is>
      </c>
    </row>
    <row r="12">
      <c r="A12" s="22" t="inlineStr">
        <is>
          <t>S1.7</t>
        </is>
      </c>
      <c r="B12" s="22" t="inlineStr">
        <is>
          <t>Audit trail</t>
        </is>
      </c>
      <c r="C12" s="22" t="inlineStr">
        <is>
          <t>Every change recorded with who, when, the old and the new value.</t>
        </is>
      </c>
      <c r="D12" s="23" t="inlineStr">
        <is>
          <t>Done</t>
        </is>
      </c>
      <c r="E12" s="22" t="inlineStr">
        <is>
          <t>The audit log records every load, build, approval, staging, engine run, setting change, write-off and compliance sign-off with the old and new values; the Audit Trace follows one record; the Governance Centre's maker-checker is enforced in code.</t>
        </is>
      </c>
      <c r="F12" s="22" t="inlineStr"/>
      <c r="G12" s="22" t="inlineStr">
        <is>
          <t>Compliant.</t>
        </is>
      </c>
      <c r="H12" s="22" t="inlineStr">
        <is>
          <t>Governance, Audit: Audit Trail /audit-trail; Audit Trace /audit-trace; Compliance Audits /compliance-audits</t>
        </is>
      </c>
      <c r="I12" s="22" t="inlineStr"/>
      <c r="J12" s="22" t="inlineStr">
        <is>
          <t>maker_checker_admin_override</t>
        </is>
      </c>
      <c r="K12" s="22" t="inlineStr">
        <is>
          <t>Tests\Feature\Eir\GovernanceServiceTest::test_every_proposal_and_approval_is_audit_logged_with_old_and_new_values; Tests\Feature\Compliance\ComplianceAuditServiceTest</t>
        </is>
      </c>
    </row>
    <row r="13">
      <c r="A13" s="22" t="inlineStr">
        <is>
          <t>S1.8</t>
        </is>
      </c>
      <c r="B13" s="22" t="inlineStr">
        <is>
          <t>Dashboard and workspace</t>
        </is>
      </c>
      <c r="C13" s="22" t="inlineStr">
        <is>
          <t>A dashboard of the book and the allowance; a workspace of the period's tasks.</t>
        </is>
      </c>
      <c r="D13" s="23" t="inlineStr">
        <is>
          <t>Done</t>
        </is>
      </c>
      <c r="E13" s="22" t="inlineStr">
        <is>
          <t>The dashboard (period, portfolio and compare-to filters; ECL by portfolio, scenarios by stage and observed default-rate charts, each with its own range) and the workspace of the period's tasks, in light and dark mode.</t>
        </is>
      </c>
      <c r="F13" s="22" t="inlineStr"/>
      <c r="G13" s="22" t="inlineStr">
        <is>
          <t>Compliant.</t>
        </is>
      </c>
      <c r="H13" s="22" t="inlineStr">
        <is>
          <t>Dashboard: /dashboard; Workspace: /workspace</t>
        </is>
      </c>
      <c r="I13" s="22" t="inlineStr"/>
      <c r="J13" s="22" t="inlineStr"/>
      <c r="K13" s="22" t="inlineStr">
        <is>
          <t>Tests\Feature\DashboardChartsTest::test_every_month_of_ecl_by_portfolio_adds_back_to_the_trend_total</t>
        </is>
      </c>
    </row>
    <row r="14">
      <c r="A14" s="22" t="inlineStr">
        <is>
          <t>S1.9</t>
        </is>
      </c>
      <c r="B14" s="22" t="inlineStr">
        <is>
          <t>User and access management; operations</t>
        </is>
      </c>
      <c r="C14" s="22" t="inlineStr">
        <is>
          <t>Users, roles and permissions, settings, financial periods, maintenance.</t>
        </is>
      </c>
      <c r="D14" s="23" t="inlineStr">
        <is>
          <t>Done</t>
        </is>
      </c>
      <c r="E14" s="22" t="inlineStr">
        <is>
          <t>User management, roles and permissions, settings, financial periods and the Maintenance screen that runs the month-end jobs; every route requires a login and the navigation is filtered by permission so no user sees a link that answers 403.</t>
        </is>
      </c>
      <c r="F14" s="22" t="inlineStr">
        <is>
          <t>Until 14 October 2026 the path given was /users; the route is /user.</t>
        </is>
      </c>
      <c r="G14" s="22" t="inlineStr">
        <is>
          <t>Compliant.</t>
        </is>
      </c>
      <c r="H14" s="22" t="inlineStr">
        <is>
          <t>Access &amp; Setup, Users &amp; Roles: /user, /user/role; Settings: /setting; Support &amp; Maintenance, Maintenance: /maintenance</t>
        </is>
      </c>
      <c r="I14" s="22" t="inlineStr"/>
      <c r="J14" s="22" t="inlineStr"/>
      <c r="K14" s="22" t="inlineStr">
        <is>
          <t>Tests\Feature\NavigationTest::test_every_leaf_names_a_registered_route; Tests\Feature\Security\RequireLoginTest::test_no_get_route_answers_a_guest_with_a_page</t>
        </is>
      </c>
    </row>
    <row r="15">
      <c r="A15" s="22" t="inlineStr">
        <is>
          <t>S1.10</t>
        </is>
      </c>
      <c r="B15" s="22" t="inlineStr">
        <is>
          <t>Internal grading</t>
        </is>
      </c>
      <c r="C15" s="22" t="inlineStr">
        <is>
          <t>Internal credit grades for the book, linked to the PD.</t>
        </is>
      </c>
      <c r="D15" s="23" t="inlineStr">
        <is>
          <t>Partially done</t>
        </is>
      </c>
      <c r="E15" s="22" t="inlineStr">
        <is>
          <t>The Internal Grades screens (profiles, the PD matrix with each grade's S&amp;P rating) and the S&amp;P grades import exist (SpGradesImportService). No engine reads the grades: on the fresh bootstrap there are 0 internal grade profiles and internal_grade_code is null on every main-book loan; staging and PD run on days past due and segments.</t>
        </is>
      </c>
      <c r="F15" s="22" t="inlineStr">
        <is>
          <t>Fresh bootstrap maiic_ifrs9_results2 (13 October 2026, before commit 216aee2). Row added 14 October 2026.</t>
        </is>
      </c>
      <c r="G15" s="22" t="inlineStr">
        <is>
          <t>Partially done: MAIIC decides whether grades drive the PD; until then they are reference only.</t>
        </is>
      </c>
      <c r="H15" s="22" t="inlineStr">
        <is>
          <t>IFRS 9 Model Setup, PD Model, Internal Grades: /internal-grading</t>
        </is>
      </c>
      <c r="I15" s="22" t="inlineStr"/>
      <c r="J15" s="22" t="inlineStr"/>
      <c r="K15" s="22" t="inlineStr"/>
    </row>
    <row r="16">
      <c r="A16" s="22" t="inlineStr">
        <is>
          <t>S1.11</t>
        </is>
      </c>
      <c r="B16" s="22" t="inlineStr">
        <is>
          <t>EAD module</t>
        </is>
      </c>
      <c r="C16" s="22" t="inlineStr">
        <is>
          <t>Exposure at default per facility.</t>
        </is>
      </c>
      <c r="D16" s="23" t="inlineStr">
        <is>
          <t>Done</t>
        </is>
      </c>
      <c r="E16" s="22" t="inlineStr">
        <is>
          <t>EAD is the carrying amount plus undrawn commitments times utilisation, floored at nil; an undrawn amount past maturity is no exposure (216aee2); the EAD report renders.</t>
        </is>
      </c>
      <c r="F16" s="22" t="inlineStr">
        <is>
          <t>Row added 14 October 2026.</t>
        </is>
      </c>
      <c r="G16" s="22" t="inlineStr">
        <is>
          <t>Compliant.</t>
        </is>
      </c>
      <c r="H16" s="22" t="inlineStr">
        <is>
          <t>Reports: EAD /ifrs9-reports/ead-report</t>
        </is>
      </c>
      <c r="I16" s="22" t="inlineStr"/>
      <c r="J16" s="22" t="inlineStr"/>
      <c r="K16" s="22" t="inlineStr">
        <is>
          <t>Tests\Feature\Ebanker\LoanBookBuildServiceTest::test_an_undrawn_amount_past_maturity_is_no_exposure; Tests\Feature\Ecl\EclBuildUpServiceTest::test_a_credit_balance_has_no_exposure_and_no_negative_ecl</t>
        </is>
      </c>
    </row>
    <row r="17">
      <c r="A17" s="22" t="inlineStr">
        <is>
          <t>S1.12</t>
        </is>
      </c>
      <c r="B17" s="22" t="inlineStr">
        <is>
          <t>Support</t>
        </is>
      </c>
      <c r="C17" s="22" t="inlineStr">
        <is>
          <t>Support tickets with a trail.</t>
        </is>
      </c>
      <c r="D17" s="23" t="inlineStr">
        <is>
          <t>Done</t>
        </is>
      </c>
      <c r="E17" s="22" t="inlineStr">
        <is>
          <t>Support tickets with references, status changes recorded in the activity trail and resolution dates.</t>
        </is>
      </c>
      <c r="F17" s="22" t="inlineStr">
        <is>
          <t>Row added 14 October 2026.</t>
        </is>
      </c>
      <c r="G17" s="22" t="inlineStr">
        <is>
          <t>Compliant.</t>
        </is>
      </c>
      <c r="H17" s="22" t="inlineStr">
        <is>
          <t>Support &amp; Maintenance, Support Tickets: /tickets</t>
        </is>
      </c>
      <c r="I17" s="22" t="inlineStr"/>
      <c r="J17" s="22" t="inlineStr"/>
      <c r="K17" s="22" t="inlineStr">
        <is>
          <t>Tests\Feature\TicketsTest::test_status_change_is_recorded_in_the_activity_trail</t>
        </is>
      </c>
    </row>
    <row r="18">
      <c r="A18" s="22" t="inlineStr">
        <is>
          <t>S1.13</t>
        </is>
      </c>
      <c r="B18" s="22" t="inlineStr">
        <is>
          <t>The Mega Farm programme</t>
        </is>
      </c>
      <c r="C18" s="22" t="inlineStr">
        <is>
          <t>The Government's Mega Farm loans provided for on a documented basis, separately from MAIIC's own book.</t>
        </is>
      </c>
      <c r="D18" s="23" t="inlineStr">
        <is>
          <t>Evidence needed from MAIIC</t>
        </is>
      </c>
      <c r="E18" s="22" t="inlineStr">
        <is>
          <t>Since 216aee2 the programme is segmented as its own portfolio, kept out of MAIIC's PD, LGD and ECL, and provided by megafarm:ecl from its own LGD cohort under the governed PD method; its monthly books (MF_01, MF_03) are landed. Not built: the interest split, the maize receivable and the fund liability of spec 16.4 and 16.5, which wait on D30.</t>
        </is>
      </c>
      <c r="F18" s="22" t="inlineStr">
        <is>
          <t>Row added 14 October 2026. The IFRS 9 impairment workbook row 16 carries the detail.</t>
        </is>
      </c>
      <c r="G18" s="22" t="inlineStr">
        <is>
          <t>Evidence needed: Dr Thom's confirmation of D30.</t>
        </is>
      </c>
      <c r="H18" s="22" t="inlineStr">
        <is>
          <t>ECL Processing, Mega Farm Programme: /megafarm</t>
        </is>
      </c>
      <c r="I18" s="22" t="inlineStr"/>
      <c r="J18" s="22" t="inlineStr">
        <is>
          <t>mega_farms_scope; megafarm_pd_method; megafarm_scalar_ceiling</t>
        </is>
      </c>
      <c r="K18" s="22" t="inlineStr">
        <is>
          <t>Tests\Feature\Ecl\MegaFarmProgrammeSeparationTest</t>
        </is>
      </c>
    </row>
    <row r="19">
      <c r="A19" s="22" t="inlineStr">
        <is>
          <t>S1.14</t>
        </is>
      </c>
      <c r="B19" s="22" t="inlineStr">
        <is>
          <t>Annual report alignment</t>
        </is>
      </c>
      <c r="C19" s="22" t="inlineStr">
        <is>
          <t>Stage tables by segment matching Note 8 of the audited statements (Mega Farm and the main book: gross, ECL and net by stage with the roll-forward), the sector concentration, interest income lines matching Note 15 and the RBM prudential tables (technical manual 7.6).</t>
        </is>
      </c>
      <c r="D19" s="23" t="inlineStr">
        <is>
          <t>Partially done</t>
        </is>
      </c>
      <c r="E19" s="22" t="inlineStr">
        <is>
          <t>The IFRS 9 note gives gross, ECL and net by stage with the roll-forward for a chosen portfolio and ties every column; the concentration report; the RBM Return. Gaps: write-offs nil in the roll-forward, the allowance undiscounted, EIR interest only on locked loans, the RBM Return provisional.</t>
        </is>
      </c>
      <c r="F19" s="22" t="inlineStr">
        <is>
          <t>Row added 14 October 2026.</t>
        </is>
      </c>
      <c r="G19" s="22" t="inlineStr">
        <is>
          <t>Partially done; see the IFRS 7 and RBM workbooks.</t>
        </is>
      </c>
      <c r="H19" s="22" t="inlineStr">
        <is>
          <t>Reports: IFRS 9 note /ifrs9-reports/fs-disclosure; /rbm-return</t>
        </is>
      </c>
      <c r="I19" s="22" t="inlineStr"/>
      <c r="J19" s="22" t="inlineStr"/>
      <c r="K19" s="22" t="inlineStr">
        <is>
          <t>Tests\Unit\EclMovementAttributionTest::test_every_column_ties</t>
        </is>
      </c>
    </row>
    <row r="20">
      <c r="A20" s="15" t="inlineStr">
        <is>
          <t>DELIVERABLES</t>
        </is>
      </c>
    </row>
    <row r="21">
      <c r="A21" s="22" t="inlineStr">
        <is>
          <t>D2</t>
        </is>
      </c>
      <c r="B21" s="22" t="inlineStr">
        <is>
          <t>Migration reconciliation report</t>
        </is>
      </c>
      <c r="C21" s="22" t="inlineStr">
        <is>
          <t>A reconciliation of the migrated data to the source system and the ledger.</t>
        </is>
      </c>
      <c r="D21" s="23" t="inlineStr">
        <is>
          <t>Partially done</t>
        </is>
      </c>
      <c r="E21" s="22" t="inlineStr">
        <is>
          <t>The evidence exists in the system: the derived carrying amount equals E-Banker's own report on 2,495 of 2,495 in-scope account-months, the loan GLs tie to the December 2025 trial balance (two accepted exceptions), the interest posted ties to the ledger (Baselines sheet), and the Imports exception files, the Coverage and Blockers export and the trial balance output (installation guide 9.7). It is not assembled as one report, and the take-on fee totals stated by MAIIC and landed are not reconciled in it.</t>
        </is>
      </c>
      <c r="F21" s="22" t="inlineStr">
        <is>
          <t>Fresh bootstrap maiic_ifrs9_results2 (13 October 2026, before commit 216aee2). Row added 14 October 2026.</t>
        </is>
      </c>
      <c r="G21" s="22" t="inlineStr">
        <is>
          <t>Partially done: assemble and sign the report.</t>
        </is>
      </c>
      <c r="H21" s="22" t="inlineStr">
        <is>
          <t>Baselines sheet; EIR Calculations, Blockers: /eir-coverage; Imports: /imports</t>
        </is>
      </c>
      <c r="I21" s="22" t="inlineStr"/>
      <c r="J21" s="22" t="inlineStr"/>
      <c r="K21" s="22" t="inlineStr"/>
    </row>
    <row r="22">
      <c r="A22" s="22" t="inlineStr">
        <is>
          <t>D5</t>
        </is>
      </c>
      <c r="B22" s="22" t="inlineStr">
        <is>
          <t>User manual</t>
        </is>
      </c>
      <c r="C22" s="22" t="inlineStr">
        <is>
          <t>A user manual for the finance officer.</t>
        </is>
      </c>
      <c r="D22" s="23" t="inlineStr">
        <is>
          <t>Done</t>
        </is>
      </c>
      <c r="E22" s="22" t="inlineStr">
        <is>
          <t>The help centre carries the user manual with per-page help and a PDF, including the Trial Balances and Write-offs screens of 13 October 2026; its chapter titles follow the suite groups.</t>
        </is>
      </c>
      <c r="F22" s="22" t="inlineStr">
        <is>
          <t>Screenshots of the screens changed on 13 and 14 October were not checked for this audit. Until 14 October 2026 this row was Partially done.</t>
        </is>
      </c>
      <c r="G22" s="22" t="inlineStr">
        <is>
          <t>Compliant.</t>
        </is>
      </c>
      <c r="H22" s="22" t="inlineStr">
        <is>
          <t>Support &amp; Maintenance, System Documentation, User Manual: /help</t>
        </is>
      </c>
      <c r="I22" s="22" t="inlineStr"/>
      <c r="J22" s="22" t="inlineStr"/>
      <c r="K22" s="22" t="inlineStr">
        <is>
          <t>Tests\Feature\HelpManualTest::test_pdf_renders_from_the_same_rows; Tests\Feature\AuditFindingM16ScreensTest::test_the_help_chapters_carry_the_suite_group_names</t>
        </is>
      </c>
    </row>
    <row r="23">
      <c r="A23" s="22" t="inlineStr">
        <is>
          <t>D6</t>
        </is>
      </c>
      <c r="B23" s="22" t="inlineStr">
        <is>
          <t>Administrator and Technical Manual</t>
        </is>
      </c>
      <c r="C23" s="22" t="inlineStr">
        <is>
          <t>The administrator manual and the technical manual (deliverable 6 in two volumes).</t>
        </is>
      </c>
      <c r="D23" s="23" t="inlineStr">
        <is>
          <t>Partially done</t>
        </is>
      </c>
      <c r="E23" s="22" t="inlineStr">
        <is>
          <t>The administrator volume is in the help centre with its own PDF; the technical volume is repository Markdown under docs/manuals/technical rendered at /system-docs/technical. The technical volume does not yet describe the services of 13 and 14 October (WriteOffClassifier and the write-off register, TrialBalanceLandingService, Bootstrap::landLaterPacks, InstalmentChartHistory, the GL fee route and fee_source_precedence).</t>
        </is>
      </c>
      <c r="F23" s="22" t="inlineStr">
        <is>
          <t>Until 14 October 2026 this workbook called D6 the administrator manual alone and D7 the technical manual with the installation guide, against DocumentFrontMatter.</t>
        </is>
      </c>
      <c r="G23" s="22" t="inlineStr">
        <is>
          <t>Partially done: the technical volume needs the new services.</t>
        </is>
      </c>
      <c r="H23" s="22" t="inlineStr">
        <is>
          <t>System Documentation: Administrator Manual /help/admin; Technical Manual /system-docs/technical</t>
        </is>
      </c>
      <c r="I23" s="22" t="inlineStr"/>
      <c r="J23" s="22" t="inlineStr"/>
      <c r="K23" s="22" t="inlineStr">
        <is>
          <t>Tests\Feature\HelpManualTest::test_admin_manual_reader_shows_only_admin_chapters_and_exports_pdf; Tests\Feature\SystemDocsTest::test_technical_manual_renders_chapters_with_anchored_sections_and_live_schema</t>
        </is>
      </c>
    </row>
    <row r="24">
      <c r="A24" s="22" t="inlineStr">
        <is>
          <t>D7</t>
        </is>
      </c>
      <c r="B24" s="22" t="inlineStr">
        <is>
          <t>Installation and Configuration Guide</t>
        </is>
      </c>
      <c r="C24" s="22" t="inlineStr">
        <is>
          <t>An installation and configuration guide.</t>
        </is>
      </c>
      <c r="D24" s="23" t="inlineStr">
        <is>
          <t>Done</t>
        </is>
      </c>
      <c r="E24" s="22" t="inlineStr">
        <is>
          <t>Repository Markdown under docs/manuals/installation, rendered at /system-docs/installation with a PDF; section 9.8 gives the bootstrap and the monthly close as the procedure.</t>
        </is>
      </c>
      <c r="F24" s="22" t="inlineStr">
        <is>
          <t>Section 9.8 step 3 does not yet name the later packs the bootstrap lands (packs 3 and 4). Until 14 October 2026 the paths given were /docs/technical and /docs/installation.</t>
        </is>
      </c>
      <c r="G24" s="22" t="inlineStr">
        <is>
          <t>Compliant.</t>
        </is>
      </c>
      <c r="H24" s="22" t="inlineStr">
        <is>
          <t>System Documentation, Installation Guide: /system-docs/installation</t>
        </is>
      </c>
      <c r="I24" s="22" t="inlineStr"/>
      <c r="J24" s="22" t="inlineStr"/>
      <c r="K24" s="22" t="inlineStr">
        <is>
          <t>Tests\Feature\SystemDocsTest::test_installation_guide_renders_without_schema_appendix; Tests\Feature\SystemDocsTest::test_documentation_menu_lists_all_four_deliverables</t>
        </is>
      </c>
    </row>
    <row r="25">
      <c r="A25" s="22" t="inlineStr">
        <is>
          <t>P10</t>
        </is>
      </c>
      <c r="B25" s="22" t="inlineStr">
        <is>
          <t>Deployment, training and source code</t>
        </is>
      </c>
      <c r="C25" s="22" t="inlineStr">
        <is>
          <t>Install in MAIIC's environment; train MAIIC's users; hand over the source code (spec v4 section 8, P10).</t>
        </is>
      </c>
      <c r="D25" s="23" t="inlineStr">
        <is>
          <t>Outstanding</t>
        </is>
      </c>
      <c r="E25" s="22" t="inlineStr">
        <is>
          <t>Not started: the system runs on Dupleix's environment; no MAIIC user training has been delivered (docs/training holds a developer course, uncommitted); the read-only E-Banker account from ICT is awaited.</t>
        </is>
      </c>
      <c r="F25" s="22" t="inlineStr">
        <is>
          <t>Row added 14 October 2026.</t>
        </is>
      </c>
      <c r="G25" s="22" t="inlineStr">
        <is>
          <t>Outstanding (Dupleix, after P9).</t>
        </is>
      </c>
      <c r="H25" s="22" t="inlineStr"/>
      <c r="I25" s="22" t="inlineStr"/>
      <c r="J25" s="22" t="inlineStr"/>
      <c r="K25" s="22" t="inlineStr"/>
    </row>
    <row r="26">
      <c r="A26" s="15" t="inlineStr">
        <is>
          <t>ACCEPTANCE</t>
        </is>
      </c>
    </row>
    <row r="27">
      <c r="A27" s="22" t="inlineStr">
        <is>
          <t>A1</t>
        </is>
      </c>
      <c r="B27" s="22" t="inlineStr">
        <is>
          <t>The specification's acceptance tests</t>
        </is>
      </c>
      <c r="C27" s="22" t="inlineStr">
        <is>
          <t>The baselines of specification section 9 pass on the production copy.</t>
        </is>
      </c>
      <c r="D27" s="23" t="inlineStr">
        <is>
          <t>Partially done</t>
        </is>
      </c>
      <c r="E27" s="22" t="inlineStr">
        <is>
          <t>eir:baselines and eir:bootstrap --verify assert: the interest posted January 2025 to July 2026, the method B tie on every in-scope account-month, the two year-end batch contras and the December 2025 loan GLs against the trial balance; all pass on the fresh bootstrap (Baselines sheet). Spec section 9 lists 16 ties; the rest, and the ECL and revenue-shift golden numbers, are not asserted.</t>
        </is>
      </c>
      <c r="F27" s="22" t="inlineStr">
        <is>
          <t>Until 14 October 2026 the row said nine golden checks.</t>
        </is>
      </c>
      <c r="G27" s="22" t="inlineStr">
        <is>
          <t>Partially done: the remaining ties and the golden numbers await MAIIC's first approved run.</t>
        </is>
      </c>
      <c r="H27" s="22" t="inlineStr">
        <is>
          <t>eir:bootstrap --verify; eir:baselines</t>
        </is>
      </c>
      <c r="I27" s="22" t="inlineStr"/>
      <c r="J27" s="22" t="inlineStr"/>
      <c r="K27" s="22" t="inlineStr">
        <is>
          <t>Tests\Feature\Ebanker\LoanBookBuildServiceTest::test_method_b_derives_the_carrying_amount_from_the_ledger_and_keeps_the_stored_figure_beside_it</t>
        </is>
      </c>
    </row>
  </sheetData>
  <autoFilter ref="A4:K27"/>
  <mergeCells count="4">
    <mergeCell ref="A2:K2"/>
    <mergeCell ref="A26:K26"/>
    <mergeCell ref="A5:K5"/>
    <mergeCell ref="A20:K20"/>
  </mergeCells>
  <conditionalFormatting sqref="D5:D27">
    <cfRule type="expression" priority="1" dxfId="0">
      <formula>$D5="Done"</formula>
    </cfRule>
    <cfRule type="expression" priority="2" dxfId="1">
      <formula>$D5="Partially done"</formula>
    </cfRule>
    <cfRule type="expression" priority="3" dxfId="2">
      <formula>$D5="Outstanding"</formula>
    </cfRule>
    <cfRule type="expression" priority="4" dxfId="3">
      <formula>$D5="Not applicable, documented"</formula>
    </cfRule>
    <cfRule type="expression" priority="5" dxfId="4">
      <formula>$D5="Evidence needed from MAIIC"</formula>
    </cfRule>
  </conditionalFormatting>
  <conditionalFormatting sqref="K5:K27">
    <cfRule type="expression" priority="6" dxfId="2">
      <formula>AND($D5="Done",$K5="")</formula>
    </cfRule>
  </conditionalFormatting>
  <dataValidations count="1">
    <dataValidation sqref="D5:D27" showDropDown="0" showInputMessage="0" showErrorMessage="0" allowBlank="1" type="list">
      <formula1>"Done,Partially done,Outstanding,Not applicable, documented,Evidence needed from MAIIC"</formula1>
    </dataValidation>
  </dataValidations>
  <hyperlinks>
    <hyperlink ref="A3" location="'Contents'!A1" display="Back to Contents"/>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C00000"/>
    <outlinePr summaryBelow="1" summaryRight="1"/>
    <pageSetUpPr fitToPage="1"/>
  </sheetPr>
  <dimension ref="A1:H8"/>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30" customWidth="1" min="3" max="3"/>
    <col width="64" customWidth="1" min="4" max="4"/>
    <col width="40" customWidth="1" min="5" max="5"/>
    <col width="64" customWidth="1" min="6" max="6"/>
    <col width="26" customWidth="1" min="7" max="7"/>
    <col width="12" customWidth="1" min="8" max="8"/>
  </cols>
  <sheetData>
    <row r="1">
      <c r="A1" s="20" t="inlineStr">
        <is>
          <t>Findings - items that need a decision or a fix before this standard can be signed off</t>
        </is>
      </c>
    </row>
    <row r="2">
      <c r="A2" s="18" t="inlineStr">
        <is>
          <t>Back to Contents</t>
        </is>
      </c>
    </row>
    <row r="4">
      <c r="A4" s="14" t="inlineStr">
        <is>
          <t>No.</t>
        </is>
      </c>
      <c r="B4" s="14" t="inlineStr">
        <is>
          <t>Reference</t>
        </is>
      </c>
      <c r="C4" s="14" t="inlineStr">
        <is>
          <t>Finding</t>
        </is>
      </c>
      <c r="D4" s="14" t="inlineStr">
        <is>
          <t>What was found</t>
        </is>
      </c>
      <c r="E4" s="14" t="inlineStr">
        <is>
          <t>Impact</t>
        </is>
      </c>
      <c r="F4" s="14" t="inlineStr">
        <is>
          <t>Recommended action</t>
        </is>
      </c>
      <c r="G4" s="14" t="inlineStr">
        <is>
          <t>Owner</t>
        </is>
      </c>
      <c r="H4" s="14" t="inlineStr">
        <is>
          <t>Status</t>
        </is>
      </c>
    </row>
    <row r="5">
      <c r="A5" s="22" t="inlineStr">
        <is>
          <t>F1</t>
        </is>
      </c>
      <c r="B5" s="24" t="inlineStr">
        <is>
          <t>S1.1</t>
        </is>
      </c>
      <c r="C5" s="22" t="inlineStr">
        <is>
          <t>The clause numbers of the signed schedule are not confirmed</t>
        </is>
      </c>
      <c r="D5" s="22" t="inlineStr">
        <is>
          <t>The rows follow the component list and deliverable numbers the manuals give for Schedule 1; the signed schedule is not in the repository.</t>
        </is>
      </c>
      <c r="E5" s="22" t="inlineStr">
        <is>
          <t>The workbook cannot be cited clause by clause at acceptance.</t>
        </is>
      </c>
      <c r="F5" s="22" t="inlineStr">
        <is>
          <t>Dr Thom supplies the signed schedule; the references are replaced by its clause numbers.</t>
        </is>
      </c>
      <c r="G5" s="22" t="inlineStr">
        <is>
          <t>Dr Thom</t>
        </is>
      </c>
      <c r="H5" s="22" t="inlineStr">
        <is>
          <t>Open</t>
        </is>
      </c>
    </row>
    <row r="6">
      <c r="A6" s="22" t="inlineStr">
        <is>
          <t>F2</t>
        </is>
      </c>
      <c r="B6" s="24" t="inlineStr">
        <is>
          <t>D6</t>
        </is>
      </c>
      <c r="C6" s="22" t="inlineStr">
        <is>
          <t>The technical manual lags the build</t>
        </is>
      </c>
      <c r="D6" s="22" t="inlineStr">
        <is>
          <t>The user manual's chapters carry the suite group names (the earlier finding on old menu groups is closed), but the technical volume does not describe the services of 13 and 14 October, and the installation guide's 9.8 does not name the later packs.</t>
        </is>
      </c>
      <c r="E6" s="22" t="inlineStr">
        <is>
          <t>A maintainer reading the manual misses the write-off, trial balance, chart-in-force and GL fee code.</t>
        </is>
      </c>
      <c r="F6" s="22" t="inlineStr">
        <is>
          <t>Add the services to chapters 03, 04, 06 and 09 of the technical manual and the packs to installation 9.8.</t>
        </is>
      </c>
      <c r="G6" s="22" t="inlineStr">
        <is>
          <t>Dupleix</t>
        </is>
      </c>
      <c r="H6" s="22" t="inlineStr">
        <is>
          <t>Open</t>
        </is>
      </c>
    </row>
    <row r="7">
      <c r="A7" s="22" t="inlineStr">
        <is>
          <t>F3</t>
        </is>
      </c>
      <c r="B7" s="24" t="inlineStr">
        <is>
          <t>D2</t>
        </is>
      </c>
      <c r="C7" s="22" t="inlineStr">
        <is>
          <t>The migration reconciliation report is not assembled</t>
        </is>
      </c>
      <c r="D7" s="22" t="inlineStr">
        <is>
          <t>The ties exist (Baselines sheet, Coverage and Blockers, Imports exceptions, trial balance output) but no single signed report.</t>
        </is>
      </c>
      <c r="E7" s="22" t="inlineStr">
        <is>
          <t>Deliverable 2 cannot be accepted as one document.</t>
        </is>
      </c>
      <c r="F7" s="22" t="inlineStr">
        <is>
          <t>Assemble the report from the existing exports with the take-on fee reconciliation and present it for sign-off.</t>
        </is>
      </c>
      <c r="G7" s="22" t="inlineStr">
        <is>
          <t>Dupleix / Finance</t>
        </is>
      </c>
      <c r="H7" s="22" t="inlineStr">
        <is>
          <t>Open</t>
        </is>
      </c>
    </row>
    <row r="8">
      <c r="A8" s="22" t="inlineStr">
        <is>
          <t>F4</t>
        </is>
      </c>
      <c r="B8" s="24" t="inlineStr">
        <is>
          <t>P10</t>
        </is>
      </c>
      <c r="C8" s="22" t="inlineStr">
        <is>
          <t>Deployment and training not started</t>
        </is>
      </c>
      <c r="D8" s="22" t="inlineStr">
        <is>
          <t>The system is not installed at MAIIC; no user training has been delivered.</t>
        </is>
      </c>
      <c r="E8" s="22" t="inlineStr">
        <is>
          <t>Go-live on 31 October 2026 depends on it.</t>
        </is>
      </c>
      <c r="F8" s="22" t="inlineStr">
        <is>
          <t>Agree the installation date and training plan with MAIIC ICT and Finance.</t>
        </is>
      </c>
      <c r="G8" s="22" t="inlineStr">
        <is>
          <t>Dupleix / MAIIC ICT</t>
        </is>
      </c>
      <c r="H8" s="22" t="inlineStr">
        <is>
          <t>Open</t>
        </is>
      </c>
    </row>
  </sheetData>
  <dataValidations count="1">
    <dataValidation sqref="H5:H8" showDropDown="0" showInputMessage="0" showErrorMessage="0" allowBlank="1" type="list">
      <formula1>"Open,In progress,Closed,Deferred"</formula1>
    </dataValidation>
  </dataValidations>
  <hyperlinks>
    <hyperlink ref="A2" location="'Contents'!A1" display="Back to Contents"/>
    <hyperlink ref="B5" location="'Audit'!A6" display="S1.1"/>
    <hyperlink ref="B6" location="'Audit'!A23" display="D6"/>
    <hyperlink ref="B7" location="'Audit'!A21" display="D2"/>
    <hyperlink ref="B8" location="'Audit'!A25" display="P10"/>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2E75B6"/>
    <outlinePr summaryBelow="1" summaryRight="1"/>
    <pageSetUpPr fitToPage="1"/>
  </sheetPr>
  <dimension ref="A1:F68"/>
  <sheetViews>
    <sheetView showGridLines="0" workbookViewId="0">
      <pane ySplit="4" topLeftCell="A5" activePane="bottomLeft" state="frozen"/>
      <selection pane="bottomLeft" activeCell="A1" sqref="A1"/>
    </sheetView>
  </sheetViews>
  <sheetFormatPr baseColWidth="8" defaultRowHeight="15"/>
  <cols>
    <col width="64" customWidth="1" min="1" max="1"/>
    <col width="22" customWidth="1" min="2" max="2"/>
    <col width="24" customWidth="1" min="3" max="3"/>
    <col width="12" customWidth="1" min="4" max="4"/>
    <col width="10" customWidth="1" min="5" max="5"/>
    <col width="50" customWidth="1" min="6" max="6"/>
  </cols>
  <sheetData>
    <row r="1">
      <c r="A1" s="20" t="inlineStr">
        <is>
          <t>Baselines - the acceptance ties of specification section 9, read from the system at generation</t>
        </is>
      </c>
    </row>
    <row r="2">
      <c r="A2" s="18" t="inlineStr">
        <is>
          <t>Back to Contents</t>
        </is>
      </c>
    </row>
    <row r="3">
      <c r="A3" s="2" t="inlineStr">
        <is>
          <t>Generated 2026-10-14 10:44:03 from maiic_ifrs9_wire. The PASS/FAIL in column E is a formula on columns B and C, so it recomputes if a figure is typed over.</t>
        </is>
      </c>
    </row>
    <row r="4">
      <c r="A4" s="14" t="inlineStr">
        <is>
          <t>Tie</t>
        </is>
      </c>
      <c r="B4" s="14" t="inlineStr">
        <is>
          <t>Expected</t>
        </is>
      </c>
      <c r="C4" s="14" t="inlineStr">
        <is>
          <t>System figure at generation</t>
        </is>
      </c>
      <c r="D4" s="14" t="inlineStr">
        <is>
          <t>Tolerance</t>
        </is>
      </c>
      <c r="E4" s="14" t="inlineStr">
        <is>
          <t>Result</t>
        </is>
      </c>
      <c r="F4" s="14" t="inlineStr">
        <is>
          <t>Note</t>
        </is>
      </c>
    </row>
    <row r="5">
      <c r="A5" s="22" t="inlineStr">
        <is>
          <t>Interest posted Jan 2025 to Jul 2026 (ledger, types 303 and 120)</t>
        </is>
      </c>
      <c r="B5" s="25" t="n">
        <v>5293988207.06</v>
      </c>
      <c r="C5" s="25" t="n">
        <v>5293988207.06</v>
      </c>
      <c r="D5" s="22" t="n">
        <v>1</v>
      </c>
      <c r="E5" s="26">
        <f>IF(ABS(B5-C5)&lt;=D5,"PASS","FAIL")</f>
        <v/>
      </c>
      <c r="F5" s="22" t="inlineStr"/>
    </row>
    <row r="6">
      <c r="A6" s="22" t="inlineStr">
        <is>
          <t>Derived carrying amount against the stored report, in-scope loan GLs (over 2 cents)</t>
        </is>
      </c>
      <c r="B6" s="22" t="inlineStr">
        <is>
          <t>0 differences</t>
        </is>
      </c>
      <c r="C6" s="22" t="inlineStr">
        <is>
          <t>0 of 2495 account-months</t>
        </is>
      </c>
      <c r="D6" s="22" t="n">
        <v>0.01</v>
      </c>
      <c r="E6" s="26">
        <f>IF(B6=C6,"PASS","FAIL")</f>
        <v/>
      </c>
      <c r="F6" s="22" t="inlineStr"/>
    </row>
    <row r="7">
      <c r="A7" s="22" t="inlineStr">
        <is>
          <t>Mega Farm: account-months whose MF_03 ledger differs from the Loan Book Report (reported, not a test)</t>
        </is>
      </c>
      <c r="B7" s="22" t="inlineStr">
        <is>
          <t>reported</t>
        </is>
      </c>
      <c r="C7" s="22" t="inlineStr">
        <is>
          <t>77540 account-months</t>
        </is>
      </c>
      <c r="D7" s="22" t="n">
        <v>0.01</v>
      </c>
      <c r="E7" s="26">
        <f>IF(B7=C7,"PASS","FAIL")</f>
        <v/>
      </c>
      <c r="F7" s="22" t="inlineStr"/>
    </row>
    <row r="8">
      <c r="A8" s="22" t="inlineStr">
        <is>
          <t>Year-end interest batch contra on 4215</t>
        </is>
      </c>
      <c r="B8" s="25" t="n">
        <v>32956675.55</v>
      </c>
      <c r="C8" s="25" t="n">
        <v>32956675.55</v>
      </c>
      <c r="D8" s="22" t="n">
        <v>1</v>
      </c>
      <c r="E8" s="26">
        <f>IF(ABS(B8-C8)&lt;=D8,"PASS","FAIL")</f>
        <v/>
      </c>
      <c r="F8" s="22" t="inlineStr"/>
    </row>
    <row r="9">
      <c r="A9" s="22" t="inlineStr">
        <is>
          <t>Year-end interest batch contra on 4216</t>
        </is>
      </c>
      <c r="B9" s="25" t="n">
        <v>-21733262.7</v>
      </c>
      <c r="C9" s="25" t="n">
        <v>-21733262.7</v>
      </c>
      <c r="D9" s="22" t="n">
        <v>0.01</v>
      </c>
      <c r="E9" s="26">
        <f>IF(ABS(B9-C9)&lt;=D9,"PASS","FAIL")</f>
        <v/>
      </c>
      <c r="F9" s="22" t="inlineStr"/>
    </row>
    <row r="10">
      <c r="A10" s="22" t="inlineStr">
        <is>
          <t>Loan book 1050101 at 31 Dec 2025 against the trial balance</t>
        </is>
      </c>
      <c r="B10" s="25" t="n">
        <v>1368737810.68</v>
      </c>
      <c r="C10" s="25" t="n">
        <v>1368737810.68</v>
      </c>
      <c r="D10" s="22" t="n">
        <v>1</v>
      </c>
      <c r="E10" s="26">
        <f>IF(ABS(B10-C10)&lt;=D10,"PASS","FAIL")</f>
        <v/>
      </c>
      <c r="F10" s="22" t="inlineStr"/>
    </row>
    <row r="11">
      <c r="A11" s="22" t="inlineStr">
        <is>
          <t>Loan book 1050102 at 31 Dec 2025 against the trial balance</t>
        </is>
      </c>
      <c r="B11" s="25" t="n">
        <v>6434045052.56</v>
      </c>
      <c r="C11" s="25" t="n">
        <v>6434045052.56</v>
      </c>
      <c r="D11" s="22" t="n">
        <v>1</v>
      </c>
      <c r="E11" s="26">
        <f>IF(ABS(B11-C11)&lt;=D11,"PASS","FAIL")</f>
        <v/>
      </c>
      <c r="F11" s="22" t="inlineStr"/>
    </row>
    <row r="12">
      <c r="A12" s="22" t="inlineStr">
        <is>
          <t>Loan book 1050201 at 31 Dec 2025 against the trial balance (accepted exception, spec 3.5: -400,000.00)</t>
        </is>
      </c>
      <c r="B12" s="25" t="n">
        <v>1402393139.46</v>
      </c>
      <c r="C12" s="25" t="n">
        <v>1401993139.46</v>
      </c>
      <c r="D12" s="22" t="n">
        <v>1</v>
      </c>
      <c r="E12" s="26">
        <f>IF(ABS(B12-C12)&lt;=D12,"PASS","FAIL")</f>
        <v/>
      </c>
      <c r="F12" s="22" t="inlineStr"/>
    </row>
    <row r="13">
      <c r="A13" s="22" t="inlineStr">
        <is>
          <t>Loan book 1050202 at 31 Dec 2025 against the trial balance (accepted exception, spec 3.5: 1,000,000.00)</t>
        </is>
      </c>
      <c r="B13" s="25" t="n">
        <v>3808288656.15</v>
      </c>
      <c r="C13" s="25" t="n">
        <v>3809288656.15</v>
      </c>
      <c r="D13" s="22" t="n">
        <v>1</v>
      </c>
      <c r="E13" s="26">
        <f>IF(ABS(B13-C13)&lt;=D13,"PASS","FAIL")</f>
        <v/>
      </c>
      <c r="F13" s="22" t="inlineStr"/>
    </row>
    <row r="14">
      <c r="A14" s="22" t="inlineStr">
        <is>
          <t>Loan book 1050401 at 31 Dec 2025 against the trial balance</t>
        </is>
      </c>
      <c r="B14" s="25" t="n">
        <v>1827148120.69</v>
      </c>
      <c r="C14" s="25" t="n">
        <v>1827148120.69</v>
      </c>
      <c r="D14" s="22" t="n">
        <v>1</v>
      </c>
      <c r="E14" s="26">
        <f>IF(ABS(B14-C14)&lt;=D14,"PASS","FAIL")</f>
        <v/>
      </c>
      <c r="F14" s="22" t="inlineStr"/>
    </row>
    <row r="15">
      <c r="A15" s="22" t="inlineStr">
        <is>
          <t>Pack inventory: ebanker-pack-2026-10-09: every file as committed and landed with its manifest rows and SHA-256; 13 received files not landed, each with its reason in the manifest</t>
        </is>
      </c>
      <c r="B15" s="22" t="inlineStr">
        <is>
          <t>12 extracts, 111,513 rows</t>
        </is>
      </c>
      <c r="C15" s="22" t="inlineStr">
        <is>
          <t>12 extracts, 111,513 rows</t>
        </is>
      </c>
      <c r="D15" s="22" t="n">
        <v>0.01</v>
      </c>
      <c r="E15" s="26">
        <f>IF(B15=C15,"PASS","FAIL")</f>
        <v/>
      </c>
      <c r="F15" s="22" t="inlineStr"/>
    </row>
    <row r="16">
      <c r="A16" s="22" t="inlineStr">
        <is>
          <t>Pack inventory: ebanker-pack-2026-10-12: every file as committed and landed with its manifest rows and SHA-256; 2 received files not landed, each with its reason in the manifest</t>
        </is>
      </c>
      <c r="B16" s="22" t="inlineStr">
        <is>
          <t>39 extracts, 511,785 rows</t>
        </is>
      </c>
      <c r="C16" s="22" t="inlineStr">
        <is>
          <t>39 extracts, 511,785 rows</t>
        </is>
      </c>
      <c r="D16" s="22" t="n">
        <v>0.01</v>
      </c>
      <c r="E16" s="26">
        <f>IF(B16=C16,"PASS","FAIL")</f>
        <v/>
      </c>
      <c r="F16" s="22" t="inlineStr"/>
    </row>
    <row r="17">
      <c r="A17" s="22" t="inlineStr">
        <is>
          <t>Pack inventory: ebanker-pack-2026-10-12-p5: every file as committed and landed with its manifest rows and SHA-256; 1 received files not landed, each with its reason in the manifest</t>
        </is>
      </c>
      <c r="B17" s="22" t="inlineStr">
        <is>
          <t>8 extracts, 470 rows</t>
        </is>
      </c>
      <c r="C17" s="22" t="inlineStr">
        <is>
          <t>8 extracts, 470 rows</t>
        </is>
      </c>
      <c r="D17" s="22" t="n">
        <v>0.01</v>
      </c>
      <c r="E17" s="26">
        <f>IF(B17=C17,"PASS","FAIL")</f>
        <v/>
      </c>
      <c r="F17" s="22" t="inlineStr"/>
    </row>
    <row r="18">
      <c r="A18" s="22" t="inlineStr">
        <is>
          <t>Pack inventory: ebanker-pack-2026-10-12-p6: every file as committed and landed with its manifest rows and SHA-256; 0 received files not landed, each with its reason in the manifest</t>
        </is>
      </c>
      <c r="B18" s="22" t="inlineStr">
        <is>
          <t>3 extracts, 236 rows</t>
        </is>
      </c>
      <c r="C18" s="22" t="inlineStr">
        <is>
          <t>3 extracts, 236 rows</t>
        </is>
      </c>
      <c r="D18" s="22" t="n">
        <v>0.01</v>
      </c>
      <c r="E18" s="26">
        <f>IF(B18=C18,"PASS","FAIL")</f>
        <v/>
      </c>
      <c r="F18" s="22" t="inlineStr"/>
    </row>
    <row r="19">
      <c r="A19" s="22" t="inlineStr">
        <is>
          <t>Pack inventory: ebanker-pack-2026-10-13-p7: every file as committed and landed with its manifest rows and SHA-256; 0 received files not landed, each with its reason in the manifest</t>
        </is>
      </c>
      <c r="B19" s="22" t="inlineStr">
        <is>
          <t>6 extracts, 32,244 rows</t>
        </is>
      </c>
      <c r="C19" s="22" t="inlineStr">
        <is>
          <t>6 extracts, 32,244 rows</t>
        </is>
      </c>
      <c r="D19" s="22" t="n">
        <v>0.01</v>
      </c>
      <c r="E19" s="26">
        <f>IF(B19=C19,"PASS","FAIL")</f>
        <v/>
      </c>
      <c r="F19" s="22" t="inlineStr"/>
    </row>
    <row r="20">
      <c r="A20" s="22" t="inlineStr">
        <is>
          <t>Pack inventory: ebanker-pack-2026-10-13-p8: every file as committed and landed with its manifest rows and SHA-256; 6 received files not landed, each with its reason in the manifest</t>
        </is>
      </c>
      <c r="B20" s="22" t="inlineStr">
        <is>
          <t>4 extracts, 103 rows</t>
        </is>
      </c>
      <c r="C20" s="22" t="inlineStr">
        <is>
          <t>4 extracts, 103 rows</t>
        </is>
      </c>
      <c r="D20" s="22" t="n">
        <v>0.01</v>
      </c>
      <c r="E20" s="26">
        <f>IF(B20=C20,"PASS","FAIL")</f>
        <v/>
      </c>
      <c r="F20" s="22" t="inlineStr"/>
    </row>
    <row r="21">
      <c r="A21" s="22" t="inlineStr">
        <is>
          <t>Pack inventory: ebanker-pack-2026-10-14: every file as committed and landed with its manifest rows and SHA-256; 13 received files not landed, each with its reason in the manifest</t>
        </is>
      </c>
      <c r="B21" s="22" t="inlineStr">
        <is>
          <t>2 extracts, 426 rows</t>
        </is>
      </c>
      <c r="C21" s="22" t="inlineStr">
        <is>
          <t>2 extracts, 426 rows</t>
        </is>
      </c>
      <c r="D21" s="22" t="n">
        <v>0.01</v>
      </c>
      <c r="E21" s="26">
        <f>IF(B21=C21,"PASS","FAIL")</f>
        <v/>
      </c>
      <c r="F21" s="22" t="inlineStr"/>
    </row>
    <row r="22">
      <c r="A22" s="22" t="inlineStr">
        <is>
          <t>Pack inventory: manifest.json (packs 1 and 2, data dictionary, trial balances, take-on): every file as committed and landed with its manifest rows and SHA-256; 3 received files not landed, each with its reason in the manifest; 30 workbooks and scripts, 23 landed by the bootstrap</t>
        </is>
      </c>
      <c r="B22" s="22" t="inlineStr">
        <is>
          <t>54 extracts, 85,174 rows, 23 workbooks</t>
        </is>
      </c>
      <c r="C22" s="22" t="inlineStr">
        <is>
          <t>54 extracts, 85,174 rows, 23 workbooks</t>
        </is>
      </c>
      <c r="D22" s="22" t="n">
        <v>0.01</v>
      </c>
      <c r="E22" s="26">
        <f>IF(B22=C22,"PASS","FAIL")</f>
        <v/>
      </c>
      <c r="F22" s="22" t="inlineStr"/>
    </row>
    <row r="23">
      <c r="A23" s="22" t="inlineStr">
        <is>
          <t>Take-on worksheet (CV_10) against the take-on postings of 31 Jul 2024: term loans on the worksheet with take-on postings</t>
        </is>
      </c>
      <c r="B23" s="25" t="n">
        <v>77</v>
      </c>
      <c r="C23" s="25" t="n">
        <v>77</v>
      </c>
      <c r="D23" s="22" t="n">
        <v>0.01</v>
      </c>
      <c r="E23" s="26">
        <f>IF(ABS(B23-C23)&lt;=D23,"PASS","FAIL")</f>
        <v/>
      </c>
      <c r="F23" s="22" t="inlineStr"/>
    </row>
    <row r="24">
      <c r="A24" s="22" t="inlineStr">
        <is>
          <t>Take-on worksheet (CV_10) against the take-on postings of 31 Jul 2024: loans whose principal taken on (301) = NEWDISBURS_AMT, to the cent</t>
        </is>
      </c>
      <c r="B24" s="25" t="n">
        <v>76</v>
      </c>
      <c r="C24" s="25" t="n">
        <v>76</v>
      </c>
      <c r="D24" s="22" t="n">
        <v>0.01</v>
      </c>
      <c r="E24" s="26">
        <f>IF(ABS(B24-C24)&lt;=D24,"PASS","FAIL")</f>
        <v/>
      </c>
      <c r="F24" s="22" t="inlineStr"/>
    </row>
    <row r="25">
      <c r="A25" s="22" t="inlineStr">
        <is>
          <t>Take-on worksheet (CV_10) against the take-on postings of 31 Jul 2024: loans whose opening interest (303) = TOTAL_INT_CHARG, to the cent</t>
        </is>
      </c>
      <c r="B25" s="25" t="n">
        <v>76</v>
      </c>
      <c r="C25" s="25" t="n">
        <v>76</v>
      </c>
      <c r="D25" s="22" t="n">
        <v>0.01</v>
      </c>
      <c r="E25" s="26">
        <f>IF(ABS(B25-C25)&lt;=D25,"PASS","FAIL")</f>
        <v/>
      </c>
      <c r="F25" s="22" t="inlineStr"/>
    </row>
    <row r="26">
      <c r="A26" s="22" t="inlineStr">
        <is>
          <t>Take-on worksheet (CV_10) against the take-on postings of 31 Jul 2024: loans whose opening recoveries (305) = TOTA_REPAY_UPTO, to the cent</t>
        </is>
      </c>
      <c r="B26" s="25" t="n">
        <v>72</v>
      </c>
      <c r="C26" s="25" t="n">
        <v>72</v>
      </c>
      <c r="D26" s="22" t="n">
        <v>0.01</v>
      </c>
      <c r="E26" s="26">
        <f>IF(ABS(B26-C26)&lt;=D26,"PASS","FAIL")</f>
        <v/>
      </c>
      <c r="F26" s="22" t="inlineStr"/>
    </row>
    <row r="27">
      <c r="A27" s="22" t="inlineStr">
        <is>
          <t>Ledger copy CUMVOUCH_BK240824 (CV_04a) to 31 Dec 2023 against the GL opening balances of 1 Jan 2024 (CV_14), 4 loan GLs: sum of the differences</t>
        </is>
      </c>
      <c r="B27" s="25" t="n">
        <v>0.5</v>
      </c>
      <c r="C27" s="25" t="n">
        <v>0.5</v>
      </c>
      <c r="D27" s="22" t="n">
        <v>0.01</v>
      </c>
      <c r="E27" s="26">
        <f>IF(ABS(B27-C27)&lt;=D27,"PASS","FAIL")</f>
        <v/>
      </c>
      <c r="F27" s="22" t="inlineStr"/>
    </row>
    <row r="28">
      <c r="A28" s="22" t="inlineStr">
        <is>
          <t>Loan book 2025-12, MAIIC's loan GLs: carrying amount</t>
        </is>
      </c>
      <c r="B28" s="22" t="inlineStr">
        <is>
          <t>no golden value committed (book_2025-12_maiic_amount)</t>
        </is>
      </c>
      <c r="C28" s="25" t="n">
        <v>14841212779.54</v>
      </c>
      <c r="D28" s="22" t="n">
        <v>0.01</v>
      </c>
      <c r="E28" s="26">
        <f>IF(B28=C28,"PASS","FAIL")</f>
        <v/>
      </c>
      <c r="F28" s="22" t="inlineStr">
        <is>
          <t>the bootstrap's verify reports this row</t>
        </is>
      </c>
    </row>
    <row r="29">
      <c r="A29" s="22" t="inlineStr">
        <is>
          <t>Loan book 2025-12, MAIIC's loan GLs: rows</t>
        </is>
      </c>
      <c r="B29" s="22" t="inlineStr">
        <is>
          <t>no golden value committed (book_2025-12_maiic_loans)</t>
        </is>
      </c>
      <c r="C29" s="25" t="n">
        <v>123</v>
      </c>
      <c r="D29" s="22" t="n">
        <v>0.01</v>
      </c>
      <c r="E29" s="26">
        <f>IF(B29=C29,"PASS","FAIL")</f>
        <v/>
      </c>
      <c r="F29" s="22" t="inlineStr">
        <is>
          <t>the bootstrap's verify reports this row</t>
        </is>
      </c>
    </row>
    <row r="30">
      <c r="A30" s="22" t="inlineStr">
        <is>
          <t>Loan book 2025-12, Mega Farm programme GLs: carrying amount</t>
        </is>
      </c>
      <c r="B30" s="22" t="inlineStr">
        <is>
          <t>no golden value committed (book_2025-12_megafarm_amount)</t>
        </is>
      </c>
      <c r="C30" s="25" t="n">
        <v>54498560819.6</v>
      </c>
      <c r="D30" s="22" t="n">
        <v>0.01</v>
      </c>
      <c r="E30" s="26">
        <f>IF(B30=C30,"PASS","FAIL")</f>
        <v/>
      </c>
      <c r="F30" s="22" t="inlineStr">
        <is>
          <t>the bootstrap's verify reports this row</t>
        </is>
      </c>
    </row>
    <row r="31">
      <c r="A31" s="22" t="inlineStr">
        <is>
          <t>Loan book 2025-12, Mega Farm programme GLs: accounts with a balance</t>
        </is>
      </c>
      <c r="B31" s="22" t="inlineStr">
        <is>
          <t>no golden value committed (book_2025-12_megafarm_accounts)</t>
        </is>
      </c>
      <c r="C31" s="25" t="n">
        <v>3671</v>
      </c>
      <c r="D31" s="22" t="n">
        <v>0.01</v>
      </c>
      <c r="E31" s="26">
        <f>IF(B31=C31,"PASS","FAIL")</f>
        <v/>
      </c>
      <c r="F31" s="22" t="inlineStr">
        <is>
          <t>the bootstrap's verify reports this row</t>
        </is>
      </c>
    </row>
    <row r="32">
      <c r="A32" s="22" t="inlineStr">
        <is>
          <t>Loan book 2026-09, MAIIC's loan GLs: carrying amount</t>
        </is>
      </c>
      <c r="B32" s="22" t="inlineStr">
        <is>
          <t>no golden value committed (book_2026-09_maiic_amount)</t>
        </is>
      </c>
      <c r="C32" s="25" t="n">
        <v>23189580235.43</v>
      </c>
      <c r="D32" s="22" t="n">
        <v>0.01</v>
      </c>
      <c r="E32" s="26">
        <f>IF(B32=C32,"PASS","FAIL")</f>
        <v/>
      </c>
      <c r="F32" s="22" t="inlineStr">
        <is>
          <t>the bootstrap's verify reports this row</t>
        </is>
      </c>
    </row>
    <row r="33">
      <c r="A33" s="22" t="inlineStr">
        <is>
          <t>Loan book 2026-09, MAIIC's loan GLs: rows</t>
        </is>
      </c>
      <c r="B33" s="22" t="inlineStr">
        <is>
          <t>no golden value committed (book_2026-09_maiic_loans)</t>
        </is>
      </c>
      <c r="C33" s="25" t="n">
        <v>134</v>
      </c>
      <c r="D33" s="22" t="n">
        <v>0.01</v>
      </c>
      <c r="E33" s="26">
        <f>IF(B33=C33,"PASS","FAIL")</f>
        <v/>
      </c>
      <c r="F33" s="22" t="inlineStr">
        <is>
          <t>the bootstrap's verify reports this row</t>
        </is>
      </c>
    </row>
    <row r="34">
      <c r="A34" s="22" t="inlineStr">
        <is>
          <t>Loan book 2026-09, Mega Farm programme GLs: carrying amount</t>
        </is>
      </c>
      <c r="B34" s="22" t="inlineStr">
        <is>
          <t>no golden value committed (book_2026-09_megafarm_amount)</t>
        </is>
      </c>
      <c r="C34" s="25" t="n">
        <v>56180761113.43</v>
      </c>
      <c r="D34" s="22" t="n">
        <v>0.01</v>
      </c>
      <c r="E34" s="26">
        <f>IF(B34=C34,"PASS","FAIL")</f>
        <v/>
      </c>
      <c r="F34" s="22" t="inlineStr">
        <is>
          <t>the bootstrap's verify reports this row</t>
        </is>
      </c>
    </row>
    <row r="35">
      <c r="A35" s="22" t="inlineStr">
        <is>
          <t>Loan book 2026-09, Mega Farm programme GLs: accounts with a balance</t>
        </is>
      </c>
      <c r="B35" s="22" t="inlineStr">
        <is>
          <t>no golden value committed (book_2026-09_megafarm_accounts)</t>
        </is>
      </c>
      <c r="C35" s="25" t="n">
        <v>3618</v>
      </c>
      <c r="D35" s="22" t="n">
        <v>0.01</v>
      </c>
      <c r="E35" s="26">
        <f>IF(B35=C35,"PASS","FAIL")</f>
        <v/>
      </c>
      <c r="F35" s="22" t="inlineStr">
        <is>
          <t>the bootstrap's verify reports this row</t>
        </is>
      </c>
    </row>
    <row r="36">
      <c r="A36" s="22" t="inlineStr">
        <is>
          <t>Ledger write-offs on MAIIC loans (WriteOffClassifier): postings</t>
        </is>
      </c>
      <c r="B36" s="22" t="inlineStr">
        <is>
          <t>no golden value committed (ledger_writeoffs_postings)</t>
        </is>
      </c>
      <c r="C36" s="25" t="n">
        <v>22</v>
      </c>
      <c r="D36" s="22" t="n">
        <v>0.01</v>
      </c>
      <c r="E36" s="26">
        <f>IF(B36=C36,"PASS","FAIL")</f>
        <v/>
      </c>
      <c r="F36" s="22" t="inlineStr">
        <is>
          <t>the bootstrap's verify reports this row</t>
        </is>
      </c>
    </row>
    <row r="37">
      <c r="A37" s="22" t="inlineStr">
        <is>
          <t>Ledger write-offs on MAIIC loans (WriteOffClassifier): amount</t>
        </is>
      </c>
      <c r="B37" s="22" t="inlineStr">
        <is>
          <t>no golden value committed (ledger_writeoffs_amount)</t>
        </is>
      </c>
      <c r="C37" s="25" t="n">
        <v>60778466.86</v>
      </c>
      <c r="D37" s="22" t="n">
        <v>0.01</v>
      </c>
      <c r="E37" s="26">
        <f>IF(B37=C37,"PASS","FAIL")</f>
        <v/>
      </c>
      <c r="F37" s="22" t="inlineStr">
        <is>
          <t>the bootstrap's verify reports this row</t>
        </is>
      </c>
    </row>
    <row r="38">
      <c r="A38" s="22" t="inlineStr">
        <is>
          <t>ECL 2025-12, MAIIC's book: undiscounted</t>
        </is>
      </c>
      <c r="B38" s="22" t="inlineStr">
        <is>
          <t>no golden value committed (ecl_2025-12_maiic_undiscounted)</t>
        </is>
      </c>
      <c r="C38" s="25" t="n">
        <v>3955543846.37</v>
      </c>
      <c r="D38" s="22" t="n">
        <v>0.01</v>
      </c>
      <c r="E38" s="26">
        <f>IF(B38=C38,"PASS","FAIL")</f>
        <v/>
      </c>
      <c r="F38" s="22" t="inlineStr">
        <is>
          <t>the bootstrap's verify reports this row</t>
        </is>
      </c>
    </row>
    <row r="39">
      <c r="A39" s="22" t="inlineStr">
        <is>
          <t>ECL 2025-12, MAIIC's book: discounted at the EIR (booked)</t>
        </is>
      </c>
      <c r="B39" s="22" t="inlineStr">
        <is>
          <t>no golden value committed (ecl_2025-12_maiic_discounted)</t>
        </is>
      </c>
      <c r="C39" s="25" t="n">
        <v>2593174242.3</v>
      </c>
      <c r="D39" s="22" t="n">
        <v>0.01</v>
      </c>
      <c r="E39" s="26">
        <f>IF(B39=C39,"PASS","FAIL")</f>
        <v/>
      </c>
      <c r="F39" s="22" t="inlineStr">
        <is>
          <t>the bootstrap's verify reports this row</t>
        </is>
      </c>
    </row>
    <row r="40">
      <c r="A40" s="22" t="inlineStr">
        <is>
          <t>ECL 2025-12, MAIIC's book: loans discounted at the EIR</t>
        </is>
      </c>
      <c r="B40" s="22" t="inlineStr">
        <is>
          <t>no golden value committed (ecl_2025-12_maiic_discounted_loans)</t>
        </is>
      </c>
      <c r="C40" s="25" t="n">
        <v>56</v>
      </c>
      <c r="D40" s="22" t="n">
        <v>0.01</v>
      </c>
      <c r="E40" s="26">
        <f>IF(B40=C40,"PASS","FAIL")</f>
        <v/>
      </c>
      <c r="F40" s="22" t="inlineStr">
        <is>
          <t>the bootstrap's verify reports this row</t>
        </is>
      </c>
    </row>
    <row r="41">
      <c r="A41" s="22" t="inlineStr">
        <is>
          <t>ECL 2025-12, MAIIC's book, stage 1: discounted</t>
        </is>
      </c>
      <c r="B41" s="22" t="inlineStr">
        <is>
          <t>no golden value committed (ecl_2025-12_maiic_stage1_discounted)</t>
        </is>
      </c>
      <c r="C41" s="25" t="n">
        <v>61318291.61</v>
      </c>
      <c r="D41" s="22" t="n">
        <v>0.01</v>
      </c>
      <c r="E41" s="26">
        <f>IF(B41=C41,"PASS","FAIL")</f>
        <v/>
      </c>
      <c r="F41" s="22" t="inlineStr">
        <is>
          <t>the bootstrap's verify reports this row</t>
        </is>
      </c>
    </row>
    <row r="42">
      <c r="A42" s="22" t="inlineStr">
        <is>
          <t>ECL 2025-12, MAIIC's book, stage 2: discounted</t>
        </is>
      </c>
      <c r="B42" s="22" t="inlineStr">
        <is>
          <t>no golden value committed (ecl_2025-12_maiic_stage2_discounted)</t>
        </is>
      </c>
      <c r="C42" s="25" t="n">
        <v>315409106.41</v>
      </c>
      <c r="D42" s="22" t="n">
        <v>0.01</v>
      </c>
      <c r="E42" s="26">
        <f>IF(B42=C42,"PASS","FAIL")</f>
        <v/>
      </c>
      <c r="F42" s="22" t="inlineStr">
        <is>
          <t>the bootstrap's verify reports this row</t>
        </is>
      </c>
    </row>
    <row r="43">
      <c r="A43" s="22" t="inlineStr">
        <is>
          <t>ECL 2025-12, MAIIC's book, stage 3: discounted</t>
        </is>
      </c>
      <c r="B43" s="22" t="inlineStr">
        <is>
          <t>no golden value committed (ecl_2025-12_maiic_stage3_discounted)</t>
        </is>
      </c>
      <c r="C43" s="25" t="n">
        <v>2216446844.28</v>
      </c>
      <c r="D43" s="22" t="n">
        <v>0.01</v>
      </c>
      <c r="E43" s="26">
        <f>IF(B43=C43,"PASS","FAIL")</f>
        <v/>
      </c>
      <c r="F43" s="22" t="inlineStr">
        <is>
          <t>the bootstrap's verify reports this row</t>
        </is>
      </c>
    </row>
    <row r="44">
      <c r="A44" s="22" t="inlineStr">
        <is>
          <t>ECL 2025-12, Mega Farm programme (latest run)</t>
        </is>
      </c>
      <c r="B44" s="22" t="inlineStr">
        <is>
          <t>no golden value committed (ecl_2025-12_megafarm_programme)</t>
        </is>
      </c>
      <c r="C44" s="22" t="inlineStr">
        <is>
          <t>none</t>
        </is>
      </c>
      <c r="D44" s="22" t="n">
        <v>0.01</v>
      </c>
      <c r="E44" s="26">
        <f>IF(B44=C44,"PASS","FAIL")</f>
        <v/>
      </c>
      <c r="F44" s="22" t="inlineStr">
        <is>
          <t>the bootstrap's verify reports this row</t>
        </is>
      </c>
    </row>
    <row r="45">
      <c r="A45" s="22" t="inlineStr">
        <is>
          <t>ECL 2025-12, Mega Farm: MAIIC's share</t>
        </is>
      </c>
      <c r="B45" s="22" t="inlineStr">
        <is>
          <t>no golden value committed (ecl_2025-12_megafarm_maiic_share)</t>
        </is>
      </c>
      <c r="C45" s="22" t="inlineStr">
        <is>
          <t>none</t>
        </is>
      </c>
      <c r="D45" s="22" t="n">
        <v>0.01</v>
      </c>
      <c r="E45" s="26">
        <f>IF(B45=C45,"PASS","FAIL")</f>
        <v/>
      </c>
      <c r="F45" s="22" t="inlineStr">
        <is>
          <t>the bootstrap's verify reports this row</t>
        </is>
      </c>
    </row>
    <row r="46">
      <c r="A46" s="22" t="inlineStr">
        <is>
          <t>ECL 2026-09, MAIIC's book: undiscounted</t>
        </is>
      </c>
      <c r="B46" s="22" t="inlineStr">
        <is>
          <t>no golden value committed (ecl_2026-09_maiic_undiscounted)</t>
        </is>
      </c>
      <c r="C46" s="25" t="n">
        <v>11569458915.88</v>
      </c>
      <c r="D46" s="22" t="n">
        <v>0.01</v>
      </c>
      <c r="E46" s="26">
        <f>IF(B46=C46,"PASS","FAIL")</f>
        <v/>
      </c>
      <c r="F46" s="22" t="inlineStr">
        <is>
          <t>the bootstrap's verify reports this row</t>
        </is>
      </c>
    </row>
    <row r="47">
      <c r="A47" s="22" t="inlineStr">
        <is>
          <t>ECL 2026-09, MAIIC's book: discounted at the EIR (booked)</t>
        </is>
      </c>
      <c r="B47" s="22" t="inlineStr">
        <is>
          <t>no golden value committed (ecl_2026-09_maiic_discounted)</t>
        </is>
      </c>
      <c r="C47" s="25" t="n">
        <v>7118643553.12</v>
      </c>
      <c r="D47" s="22" t="n">
        <v>0.01</v>
      </c>
      <c r="E47" s="26">
        <f>IF(B47=C47,"PASS","FAIL")</f>
        <v/>
      </c>
      <c r="F47" s="22" t="inlineStr">
        <is>
          <t>the bootstrap's verify reports this row</t>
        </is>
      </c>
    </row>
    <row r="48">
      <c r="A48" s="22" t="inlineStr">
        <is>
          <t>ECL 2026-09, MAIIC's book: loans discounted at the EIR</t>
        </is>
      </c>
      <c r="B48" s="22" t="inlineStr">
        <is>
          <t>no golden value committed (ecl_2026-09_maiic_discounted_loans)</t>
        </is>
      </c>
      <c r="C48" s="25" t="n">
        <v>62</v>
      </c>
      <c r="D48" s="22" t="n">
        <v>0.01</v>
      </c>
      <c r="E48" s="26">
        <f>IF(B48=C48,"PASS","FAIL")</f>
        <v/>
      </c>
      <c r="F48" s="22" t="inlineStr">
        <is>
          <t>the bootstrap's verify reports this row</t>
        </is>
      </c>
    </row>
    <row r="49">
      <c r="A49" s="22" t="inlineStr">
        <is>
          <t>ECL 2026-09, MAIIC's book, stage 1: discounted</t>
        </is>
      </c>
      <c r="B49" s="22" t="inlineStr">
        <is>
          <t>no golden value committed (ecl_2026-09_maiic_stage1_discounted)</t>
        </is>
      </c>
      <c r="C49" s="25" t="n">
        <v>219546033.9</v>
      </c>
      <c r="D49" s="22" t="n">
        <v>0.01</v>
      </c>
      <c r="E49" s="26">
        <f>IF(B49=C49,"PASS","FAIL")</f>
        <v/>
      </c>
      <c r="F49" s="22" t="inlineStr">
        <is>
          <t>the bootstrap's verify reports this row</t>
        </is>
      </c>
    </row>
    <row r="50">
      <c r="A50" s="22" t="inlineStr">
        <is>
          <t>ECL 2026-09, MAIIC's book, stage 2: discounted</t>
        </is>
      </c>
      <c r="B50" s="22" t="inlineStr">
        <is>
          <t>no golden value committed (ecl_2026-09_maiic_stage2_discounted)</t>
        </is>
      </c>
      <c r="C50" s="25" t="n">
        <v>183786390.69</v>
      </c>
      <c r="D50" s="22" t="n">
        <v>0.01</v>
      </c>
      <c r="E50" s="26">
        <f>IF(B50=C50,"PASS","FAIL")</f>
        <v/>
      </c>
      <c r="F50" s="22" t="inlineStr">
        <is>
          <t>the bootstrap's verify reports this row</t>
        </is>
      </c>
    </row>
    <row r="51">
      <c r="A51" s="22" t="inlineStr">
        <is>
          <t>ECL 2026-09, MAIIC's book, stage 3: discounted</t>
        </is>
      </c>
      <c r="B51" s="22" t="inlineStr">
        <is>
          <t>no golden value committed (ecl_2026-09_maiic_stage3_discounted)</t>
        </is>
      </c>
      <c r="C51" s="25" t="n">
        <v>6715311128.53</v>
      </c>
      <c r="D51" s="22" t="n">
        <v>0.01</v>
      </c>
      <c r="E51" s="26">
        <f>IF(B51=C51,"PASS","FAIL")</f>
        <v/>
      </c>
      <c r="F51" s="22" t="inlineStr">
        <is>
          <t>the bootstrap's verify reports this row</t>
        </is>
      </c>
    </row>
    <row r="52">
      <c r="A52" s="22" t="inlineStr">
        <is>
          <t>ECL 2026-09, Mega Farm programme (latest run)</t>
        </is>
      </c>
      <c r="B52" s="22" t="inlineStr">
        <is>
          <t>no golden value committed (ecl_2026-09_megafarm_programme)</t>
        </is>
      </c>
      <c r="C52" s="25" t="n">
        <v>45782301503.37</v>
      </c>
      <c r="D52" s="22" t="n">
        <v>0.01</v>
      </c>
      <c r="E52" s="26">
        <f>IF(B52=C52,"PASS","FAIL")</f>
        <v/>
      </c>
      <c r="F52" s="22" t="inlineStr">
        <is>
          <t>the bootstrap's verify reports this row</t>
        </is>
      </c>
    </row>
    <row r="53">
      <c r="A53" s="22" t="inlineStr">
        <is>
          <t>ECL 2026-09, Mega Farm: MAIIC's share</t>
        </is>
      </c>
      <c r="B53" s="22" t="inlineStr">
        <is>
          <t>no golden value committed (ecl_2026-09_megafarm_maiic_share)</t>
        </is>
      </c>
      <c r="C53" s="25" t="n">
        <v>2289115075.17</v>
      </c>
      <c r="D53" s="22" t="n">
        <v>0.01</v>
      </c>
      <c r="E53" s="26">
        <f>IF(B53=C53,"PASS","FAIL")</f>
        <v/>
      </c>
      <c r="F53" s="22" t="inlineStr">
        <is>
          <t>the bootstrap's verify reports this row</t>
        </is>
      </c>
    </row>
    <row r="54">
      <c r="A54" s="22" t="inlineStr">
        <is>
          <t>EIR contracts locked</t>
        </is>
      </c>
      <c r="B54" s="22" t="inlineStr">
        <is>
          <t>no golden value committed (eir_contracts_locked)</t>
        </is>
      </c>
      <c r="C54" s="25" t="n">
        <v>14</v>
      </c>
      <c r="D54" s="22" t="n">
        <v>0.01</v>
      </c>
      <c r="E54" s="26">
        <f>IF(B54=C54,"PASS","FAIL")</f>
        <v/>
      </c>
      <c r="F54" s="22" t="inlineStr">
        <is>
          <t>the bootstrap's verify reports this row</t>
        </is>
      </c>
    </row>
    <row r="55">
      <c r="A55" s="22" t="inlineStr">
        <is>
          <t>EIR contracts blocked</t>
        </is>
      </c>
      <c r="B55" s="22" t="inlineStr">
        <is>
          <t>no golden value committed (eir_contracts_blocked)</t>
        </is>
      </c>
      <c r="C55" s="25" t="n">
        <v>33</v>
      </c>
      <c r="D55" s="22" t="n">
        <v>0.01</v>
      </c>
      <c r="E55" s="26">
        <f>IF(B55=C55,"PASS","FAIL")</f>
        <v/>
      </c>
      <c r="F55" s="22" t="inlineStr">
        <is>
          <t>the bootstrap's verify reports this row</t>
        </is>
      </c>
    </row>
    <row r="56">
      <c r="A56" s="22" t="inlineStr">
        <is>
          <t>EIR contracts solved (an EIR computed)</t>
        </is>
      </c>
      <c r="B56" s="22" t="inlineStr">
        <is>
          <t>no golden value committed (eir_contracts_solved)</t>
        </is>
      </c>
      <c r="C56" s="25" t="n">
        <v>14</v>
      </c>
      <c r="D56" s="22" t="n">
        <v>0.01</v>
      </c>
      <c r="E56" s="26">
        <f>IF(B56=C56,"PASS","FAIL")</f>
        <v/>
      </c>
      <c r="F56" s="22" t="inlineStr">
        <is>
          <t>the bootstrap's verify reports this row</t>
        </is>
      </c>
    </row>
    <row r="57">
      <c r="A57" s="22" t="inlineStr">
        <is>
          <t>EIR contracts in the contract master</t>
        </is>
      </c>
      <c r="B57" s="22" t="inlineStr">
        <is>
          <t>no golden value committed (eir_contracts)</t>
        </is>
      </c>
      <c r="C57" s="25" t="n">
        <v>144</v>
      </c>
      <c r="D57" s="22" t="n">
        <v>0.01</v>
      </c>
      <c r="E57" s="26">
        <f>IF(B57=C57,"PASS","FAIL")</f>
        <v/>
      </c>
      <c r="F57" s="22" t="inlineStr">
        <is>
          <t>the bootstrap's verify reports this row</t>
        </is>
      </c>
    </row>
    <row r="58">
      <c r="A58" s="22" t="inlineStr">
        <is>
          <t>Revenue 2024: EIR interest recognised</t>
        </is>
      </c>
      <c r="B58" s="22" t="inlineStr">
        <is>
          <t>no golden value committed (revenue_2024_eir_interest)</t>
        </is>
      </c>
      <c r="C58" s="25" t="n">
        <v>25532678.7</v>
      </c>
      <c r="D58" s="22" t="n">
        <v>0.01</v>
      </c>
      <c r="E58" s="26">
        <f>IF(B58=C58,"PASS","FAIL")</f>
        <v/>
      </c>
      <c r="F58" s="22" t="inlineStr">
        <is>
          <t>the bootstrap's verify reports this row</t>
        </is>
      </c>
    </row>
    <row r="59">
      <c r="A59" s="22" t="inlineStr">
        <is>
          <t>Revenue 2024: cash received</t>
        </is>
      </c>
      <c r="B59" s="22" t="inlineStr">
        <is>
          <t>no golden value committed (revenue_2024_cash_received)</t>
        </is>
      </c>
      <c r="C59" s="25" t="n">
        <v>34200000</v>
      </c>
      <c r="D59" s="22" t="n">
        <v>0.01</v>
      </c>
      <c r="E59" s="26">
        <f>IF(B59=C59,"PASS","FAIL")</f>
        <v/>
      </c>
      <c r="F59" s="22" t="inlineStr">
        <is>
          <t>the bootstrap's verify reports this row</t>
        </is>
      </c>
    </row>
    <row r="60">
      <c r="A60" s="22" t="inlineStr">
        <is>
          <t>Revenue 2024: roll-forward rows</t>
        </is>
      </c>
      <c r="B60" s="22" t="inlineStr">
        <is>
          <t>no golden value committed (revenue_2024_rows)</t>
        </is>
      </c>
      <c r="C60" s="25" t="n">
        <v>20</v>
      </c>
      <c r="D60" s="22" t="n">
        <v>0.01</v>
      </c>
      <c r="E60" s="26">
        <f>IF(B60=C60,"PASS","FAIL")</f>
        <v/>
      </c>
      <c r="F60" s="22" t="inlineStr">
        <is>
          <t>the bootstrap's verify reports this row</t>
        </is>
      </c>
    </row>
    <row r="61">
      <c r="A61" s="22" t="inlineStr">
        <is>
          <t>Revenue 2025: EIR interest recognised</t>
        </is>
      </c>
      <c r="B61" s="22" t="inlineStr">
        <is>
          <t>no golden value committed (revenue_2025_eir_interest)</t>
        </is>
      </c>
      <c r="C61" s="25" t="n">
        <v>663970866.88</v>
      </c>
      <c r="D61" s="22" t="n">
        <v>0.01</v>
      </c>
      <c r="E61" s="26">
        <f>IF(B61=C61,"PASS","FAIL")</f>
        <v/>
      </c>
      <c r="F61" s="22" t="inlineStr">
        <is>
          <t>the bootstrap's verify reports this row</t>
        </is>
      </c>
    </row>
    <row r="62">
      <c r="A62" s="22" t="inlineStr">
        <is>
          <t>Revenue 2025: cash received</t>
        </is>
      </c>
      <c r="B62" s="22" t="inlineStr">
        <is>
          <t>no golden value committed (revenue_2025_cash_received)</t>
        </is>
      </c>
      <c r="C62" s="25" t="n">
        <v>1158267060.2</v>
      </c>
      <c r="D62" s="22" t="n">
        <v>0.01</v>
      </c>
      <c r="E62" s="26">
        <f>IF(B62=C62,"PASS","FAIL")</f>
        <v/>
      </c>
      <c r="F62" s="22" t="inlineStr">
        <is>
          <t>the bootstrap's verify reports this row</t>
        </is>
      </c>
    </row>
    <row r="63">
      <c r="A63" s="22" t="inlineStr">
        <is>
          <t>Revenue 2025: roll-forward rows</t>
        </is>
      </c>
      <c r="B63" s="22" t="inlineStr">
        <is>
          <t>no golden value committed (revenue_2025_rows)</t>
        </is>
      </c>
      <c r="C63" s="25" t="n">
        <v>126</v>
      </c>
      <c r="D63" s="22" t="n">
        <v>0.01</v>
      </c>
      <c r="E63" s="26">
        <f>IF(B63=C63,"PASS","FAIL")</f>
        <v/>
      </c>
      <c r="F63" s="22" t="inlineStr">
        <is>
          <t>the bootstrap's verify reports this row</t>
        </is>
      </c>
    </row>
    <row r="64">
      <c r="A64" s="22" t="inlineStr">
        <is>
          <t>Revenue 2026: EIR interest recognised</t>
        </is>
      </c>
      <c r="B64" s="22" t="inlineStr">
        <is>
          <t>no golden value committed (revenue_2026_eir_interest)</t>
        </is>
      </c>
      <c r="C64" s="25" t="n">
        <v>544517024.26</v>
      </c>
      <c r="D64" s="22" t="n">
        <v>0.01</v>
      </c>
      <c r="E64" s="26">
        <f>IF(B64=C64,"PASS","FAIL")</f>
        <v/>
      </c>
      <c r="F64" s="22" t="inlineStr">
        <is>
          <t>the bootstrap's verify reports this row</t>
        </is>
      </c>
    </row>
    <row r="65">
      <c r="A65" s="22" t="inlineStr">
        <is>
          <t>Revenue 2026: cash received</t>
        </is>
      </c>
      <c r="B65" s="22" t="inlineStr">
        <is>
          <t>no golden value committed (revenue_2026_cash_received)</t>
        </is>
      </c>
      <c r="C65" s="25" t="n">
        <v>2381610987.63</v>
      </c>
      <c r="D65" s="22" t="n">
        <v>0.01</v>
      </c>
      <c r="E65" s="26">
        <f>IF(B65=C65,"PASS","FAIL")</f>
        <v/>
      </c>
      <c r="F65" s="22" t="inlineStr">
        <is>
          <t>the bootstrap's verify reports this row</t>
        </is>
      </c>
    </row>
    <row r="66">
      <c r="A66" s="22" t="inlineStr">
        <is>
          <t>Revenue 2026: roll-forward rows</t>
        </is>
      </c>
      <c r="B66" s="22" t="inlineStr">
        <is>
          <t>no golden value committed (revenue_2026_rows)</t>
        </is>
      </c>
      <c r="C66" s="25" t="n">
        <v>113</v>
      </c>
      <c r="D66" s="22" t="n">
        <v>0.01</v>
      </c>
      <c r="E66" s="26">
        <f>IF(B66=C66,"PASS","FAIL")</f>
        <v/>
      </c>
      <c r="F66" s="22" t="inlineStr">
        <is>
          <t>the bootstrap's verify reports this row</t>
        </is>
      </c>
    </row>
    <row r="67">
      <c r="A67" s="22" t="inlineStr">
        <is>
          <t>RBM return 2026-09: facilities classified loss (paragraph 12 list)</t>
        </is>
      </c>
      <c r="B67" s="22" t="inlineStr">
        <is>
          <t>no golden value committed (rbm_2026-09_loss_facilities)</t>
        </is>
      </c>
      <c r="C67" s="25" t="n">
        <v>10</v>
      </c>
      <c r="D67" s="22" t="n">
        <v>0.01</v>
      </c>
      <c r="E67" s="26">
        <f>IF(B67=C67,"PASS","FAIL")</f>
        <v/>
      </c>
      <c r="F67" s="22" t="inlineStr">
        <is>
          <t>the bootstrap's verify reports this row</t>
        </is>
      </c>
    </row>
    <row r="68">
      <c r="A68" s="22" t="inlineStr">
        <is>
          <t>RBM return 2026-09: balance of the loss list</t>
        </is>
      </c>
      <c r="B68" s="22" t="inlineStr">
        <is>
          <t>no golden value committed (rbm_2026-09_loss_balance)</t>
        </is>
      </c>
      <c r="C68" s="25" t="n">
        <v>1510956083.45</v>
      </c>
      <c r="D68" s="22" t="n">
        <v>0.01</v>
      </c>
      <c r="E68" s="26">
        <f>IF(B68=C68,"PASS","FAIL")</f>
        <v/>
      </c>
      <c r="F68" s="22" t="inlineStr">
        <is>
          <t>the bootstrap's verify reports this row</t>
        </is>
      </c>
    </row>
  </sheetData>
  <conditionalFormatting sqref="E5:E68">
    <cfRule type="expression" priority="1" dxfId="0">
      <formula>$E5="PASS"</formula>
    </cfRule>
    <cfRule type="expression" priority="2" dxfId="2">
      <formula>$E5="FAIL"</formula>
    </cfRule>
  </conditionalFormatting>
  <hyperlinks>
    <hyperlink ref="A2" location="'Contents'!A1" display="Back to Contents"/>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2026-10-14T08:44:03Z</dcterms:created>
  <dcterms:modified xmlns:dcterms="http://purl.org/dc/terms/" xmlns:xsi="http://www.w3.org/2001/XMLSchema-instance" xsi:type="dcterms:W3CDTF">2026-10-14T08:44:03Z</dcterms:modified>
</cp:coreProperties>
</file>