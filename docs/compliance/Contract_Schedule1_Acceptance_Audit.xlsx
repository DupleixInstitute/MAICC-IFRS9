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'Audit'!$A$4:$K$20</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3"/>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Contract Schedule 1 - deliverables and acceptance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COUNTA(Audit!$A$5:$A$20)-3</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SOLUTION COMPONENTS</t>
        </is>
      </c>
    </row>
    <row r="15">
      <c r="A15" s="16" t="inlineStr">
        <is>
          <t>S1.1</t>
        </is>
      </c>
      <c r="B15" s="17" t="inlineStr">
        <is>
          <t>Data onboarding</t>
        </is>
      </c>
      <c r="C15" s="16">
        <f>Audit!D6</f>
        <v/>
      </c>
      <c r="D15" s="17" t="inlineStr">
        <is>
          <t>Audit row 6</t>
        </is>
      </c>
    </row>
    <row r="16">
      <c r="A16" s="16" t="inlineStr">
        <is>
          <t>S1.2</t>
        </is>
      </c>
      <c r="B16" s="17" t="inlineStr">
        <is>
          <t>Collateral management</t>
        </is>
      </c>
      <c r="C16" s="16">
        <f>Audit!D7</f>
        <v/>
      </c>
      <c r="D16" s="17" t="inlineStr">
        <is>
          <t>Audit row 7</t>
        </is>
      </c>
    </row>
    <row r="17">
      <c r="A17" s="16" t="inlineStr">
        <is>
          <t>S1.3</t>
        </is>
      </c>
      <c r="B17" s="17" t="inlineStr">
        <is>
          <t>The effective interest rate and revenue recognition</t>
        </is>
      </c>
      <c r="C17" s="16">
        <f>Audit!D8</f>
        <v/>
      </c>
      <c r="D17" s="17" t="inlineStr">
        <is>
          <t>Audit row 8</t>
        </is>
      </c>
    </row>
    <row r="18">
      <c r="A18" s="16" t="inlineStr">
        <is>
          <t>S1.4</t>
        </is>
      </c>
      <c r="B18" s="17" t="inlineStr">
        <is>
          <t>IFRS 9 model set-up</t>
        </is>
      </c>
      <c r="C18" s="16">
        <f>Audit!D9</f>
        <v/>
      </c>
      <c r="D18" s="17" t="inlineStr">
        <is>
          <t>Audit row 9</t>
        </is>
      </c>
    </row>
    <row r="19">
      <c r="A19" s="16" t="inlineStr">
        <is>
          <t>S1.5</t>
        </is>
      </c>
      <c r="B19" s="17" t="inlineStr">
        <is>
          <t>The ECL engine</t>
        </is>
      </c>
      <c r="C19" s="16">
        <f>Audit!D10</f>
        <v/>
      </c>
      <c r="D19" s="17" t="inlineStr">
        <is>
          <t>Audit row 10</t>
        </is>
      </c>
    </row>
    <row r="20">
      <c r="A20" s="16" t="inlineStr">
        <is>
          <t>S1.6</t>
        </is>
      </c>
      <c r="B20" s="17" t="inlineStr">
        <is>
          <t>Reports</t>
        </is>
      </c>
      <c r="C20" s="16">
        <f>Audit!D11</f>
        <v/>
      </c>
      <c r="D20" s="17" t="inlineStr">
        <is>
          <t>Audit row 11</t>
        </is>
      </c>
    </row>
    <row r="21">
      <c r="A21" s="16" t="inlineStr">
        <is>
          <t>S1.7</t>
        </is>
      </c>
      <c r="B21" s="17" t="inlineStr">
        <is>
          <t>The audit trail</t>
        </is>
      </c>
      <c r="C21" s="16">
        <f>Audit!D12</f>
        <v/>
      </c>
      <c r="D21" s="17" t="inlineStr">
        <is>
          <t>Audit row 12</t>
        </is>
      </c>
    </row>
    <row r="22">
      <c r="A22" s="16" t="inlineStr">
        <is>
          <t>S1.8</t>
        </is>
      </c>
      <c r="B22" s="17" t="inlineStr">
        <is>
          <t>The dashboard and the workspace</t>
        </is>
      </c>
      <c r="C22" s="16">
        <f>Audit!D13</f>
        <v/>
      </c>
      <c r="D22" s="17" t="inlineStr">
        <is>
          <t>Audit row 13</t>
        </is>
      </c>
    </row>
    <row r="23">
      <c r="A23" s="16" t="inlineStr">
        <is>
          <t>S1.9</t>
        </is>
      </c>
      <c r="B23" s="17" t="inlineStr">
        <is>
          <t>Administration</t>
        </is>
      </c>
      <c r="C23" s="16">
        <f>Audit!D14</f>
        <v/>
      </c>
      <c r="D23" s="17" t="inlineStr">
        <is>
          <t>Audit row 14</t>
        </is>
      </c>
    </row>
    <row r="24">
      <c r="A24" s="15" t="inlineStr">
        <is>
          <t>DOCUMENTATION</t>
        </is>
      </c>
    </row>
    <row r="25">
      <c r="A25" s="16" t="inlineStr">
        <is>
          <t>D5</t>
        </is>
      </c>
      <c r="B25" s="17" t="inlineStr">
        <is>
          <t>User manual</t>
        </is>
      </c>
      <c r="C25" s="16">
        <f>Audit!D16</f>
        <v/>
      </c>
      <c r="D25" s="17" t="inlineStr">
        <is>
          <t>Audit row 16</t>
        </is>
      </c>
    </row>
    <row r="26">
      <c r="A26" s="16" t="inlineStr">
        <is>
          <t>D6</t>
        </is>
      </c>
      <c r="B26" s="17" t="inlineStr">
        <is>
          <t>Administrator manual</t>
        </is>
      </c>
      <c r="C26" s="16">
        <f>Audit!D17</f>
        <v/>
      </c>
      <c r="D26" s="17" t="inlineStr">
        <is>
          <t>Audit row 17</t>
        </is>
      </c>
    </row>
    <row r="27">
      <c r="A27" s="16" t="inlineStr">
        <is>
          <t>D7</t>
        </is>
      </c>
      <c r="B27" s="17" t="inlineStr">
        <is>
          <t>Technical manual and installation guide</t>
        </is>
      </c>
      <c r="C27" s="16">
        <f>Audit!D18</f>
        <v/>
      </c>
      <c r="D27" s="17" t="inlineStr">
        <is>
          <t>Audit row 18</t>
        </is>
      </c>
    </row>
    <row r="28">
      <c r="A28" s="15" t="inlineStr">
        <is>
          <t>ACCEPTANCE</t>
        </is>
      </c>
    </row>
    <row r="29">
      <c r="A29" s="16" t="inlineStr">
        <is>
          <t>A1</t>
        </is>
      </c>
      <c r="B29" s="17" t="inlineStr">
        <is>
          <t>The specification's acceptance tests</t>
        </is>
      </c>
      <c r="C29" s="16">
        <f>Audit!D20</f>
        <v/>
      </c>
      <c r="D29" s="17" t="inlineStr">
        <is>
          <t>Audit row 20</t>
        </is>
      </c>
    </row>
    <row r="31">
      <c r="A31" s="18" t="inlineStr">
        <is>
          <t>Findings that need a decision or a fix: see the 'Findings' sheet</t>
        </is>
      </c>
    </row>
    <row r="32">
      <c r="A32" s="18" t="inlineStr">
        <is>
          <t>The acceptance ties read from the system: see the 'Baselines' sheet</t>
        </is>
      </c>
    </row>
    <row r="33">
      <c r="A33" s="19" t="inlineStr">
        <is>
          <t>Source: The implementation agreement between MAIIC and Dupleix Institute, Schedule 1 (solution components; deliverables 5, 6 and 7 are the manuals). Spec v4 section 8 (the build plan) and section 12.</t>
        </is>
      </c>
    </row>
  </sheetData>
  <mergeCells count="3">
    <mergeCell ref="A28:D28"/>
    <mergeCell ref="A24:D24"/>
    <mergeCell ref="A14:D14"/>
  </mergeCells>
  <conditionalFormatting sqref="C14:C30">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ata onboarding"/>
    <hyperlink ref="D15" location="'Audit'!A6" display="Audit row 6"/>
    <hyperlink ref="B16" location="'Audit'!A7" display="Collateral management"/>
    <hyperlink ref="D16" location="'Audit'!A7" display="Audit row 7"/>
    <hyperlink ref="B17" location="'Audit'!A8" display="The effective interest rate and revenue recognition"/>
    <hyperlink ref="D17" location="'Audit'!A8" display="Audit row 8"/>
    <hyperlink ref="B18" location="'Audit'!A9" display="IFRS 9 model set-up"/>
    <hyperlink ref="D18" location="'Audit'!A9" display="Audit row 9"/>
    <hyperlink ref="B19" location="'Audit'!A10" display="The ECL engine"/>
    <hyperlink ref="D19" location="'Audit'!A10" display="Audit row 10"/>
    <hyperlink ref="B20" location="'Audit'!A11" display="Reports"/>
    <hyperlink ref="D20" location="'Audit'!A11" display="Audit row 11"/>
    <hyperlink ref="B21" location="'Audit'!A12" display="The audit trail"/>
    <hyperlink ref="D21" location="'Audit'!A12" display="Audit row 12"/>
    <hyperlink ref="B22" location="'Audit'!A13" display="The dashboard and the workspace"/>
    <hyperlink ref="D22" location="'Audit'!A13" display="Audit row 13"/>
    <hyperlink ref="B23" location="'Audit'!A14" display="Administration"/>
    <hyperlink ref="D23" location="'Audit'!A14" display="Audit row 14"/>
    <hyperlink ref="B25" location="'Audit'!A16" display="User manual"/>
    <hyperlink ref="D25" location="'Audit'!A16" display="Audit row 16"/>
    <hyperlink ref="B26" location="'Audit'!A17" display="Administrator manual"/>
    <hyperlink ref="D26" location="'Audit'!A17" display="Audit row 17"/>
    <hyperlink ref="B27" location="'Audit'!A18" display="Technical manual and installation guide"/>
    <hyperlink ref="D27" location="'Audit'!A18" display="Audit row 18"/>
    <hyperlink ref="B29" location="'Audit'!A20" display="The specification's acceptance tests"/>
    <hyperlink ref="D29" location="'Audit'!A20" display="Audit row 20"/>
    <hyperlink ref="A31" location="'Findings'!A1" display="Findings that need a decision or a fix: see the 'Findings' sheet"/>
    <hyperlink ref="A32"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The MAIIC-Dupleix implementation agreement, Schedule 1: solution components and deliverables, each with the screen, document or test that discharges it - compliance audit</t>
        </is>
      </c>
    </row>
    <row r="2" ht="30" customHeight="1">
      <c r="A2" s="21" t="inlineStr">
        <is>
          <t>Malawi Agricultural and Industrial Investment Company (MAIIC) - IFRS 9 EIR and ECL system - build of 8 October 2026 against specification v4. Prepared 9 October 2026 from the build of specification v4 and the system as it stands on the clean install. The clause numbers of the signed schedule are to be confirmed at acceptance (P9). Reviewer: Dr Thomson Kumwenda (CFO), at acceptance.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SOLUTION COMPONENTS</t>
        </is>
      </c>
    </row>
    <row r="6">
      <c r="A6" s="22" t="inlineStr">
        <is>
          <t>S1.1</t>
        </is>
      </c>
      <c r="B6" s="22" t="inlineStr">
        <is>
          <t>Data onboarding</t>
        </is>
      </c>
      <c r="C6" s="22" t="inlineStr">
        <is>
          <t>Load the client's loan book, customer and transaction data into the system with validation.</t>
        </is>
      </c>
      <c r="D6" s="23" t="inlineStr">
        <is>
          <t>Done</t>
        </is>
      </c>
      <c r="E6" s="22" t="inlineStr">
        <is>
          <t>The E-Banker landing zone with its gates, the loan book built from the ledger by three methods, the take-on schedules landed with their cells, the trial balances; the bootstrap loads it all from the committed folder and proves it against the golden numbers.</t>
        </is>
      </c>
      <c r="F6" s="22" t="inlineStr"/>
      <c r="G6" s="22" t="inlineStr">
        <is>
          <t>Compliant.</t>
        </is>
      </c>
      <c r="H6" s="22" t="inlineStr">
        <is>
          <t>Data Foundation, E-Banker Feed: /eir-feed; Take-on Schedules: /eir-takeon</t>
        </is>
      </c>
      <c r="I6" s="22" t="inlineStr"/>
      <c r="J6" s="22" t="inlineStr">
        <is>
          <t>ebanker_feed_route; loan_book_build_method</t>
        </is>
      </c>
      <c r="K6" s="22" t="inlineStr">
        <is>
          <t>Tests\Feature\Ebanker\PackLandingServiceTest; Tests\Feature\Ebanker\LoanBookBuildServiceTest</t>
        </is>
      </c>
    </row>
    <row r="7">
      <c r="A7" s="22" t="inlineStr">
        <is>
          <t>S1.2</t>
        </is>
      </c>
      <c r="B7" s="22" t="inlineStr">
        <is>
          <t>Collateral management</t>
        </is>
      </c>
      <c r="C7" s="22" t="inlineStr">
        <is>
          <t>Register collateral, its types and its allocation to facilities.</t>
        </is>
      </c>
      <c r="D7" s="23" t="inlineStr">
        <is>
          <t>Partially done</t>
        </is>
      </c>
      <c r="E7" s="22" t="inlineStr">
        <is>
          <t>The collateral register, types and allocation screens exist; the security register from E-Banker (P2_11) is landed; 31 active accounts have no security recorded.</t>
        </is>
      </c>
      <c r="F7" s="22" t="inlineStr"/>
      <c r="G7" s="22" t="inlineStr">
        <is>
          <t>Partially done: the data is Credit's to complete.</t>
        </is>
      </c>
      <c r="H7" s="22" t="inlineStr">
        <is>
          <t>Data Foundation, Collateral Register: /collateral/register</t>
        </is>
      </c>
      <c r="I7" s="22" t="inlineStr"/>
      <c r="J7" s="22" t="inlineStr"/>
      <c r="K7" s="22" t="inlineStr">
        <is>
          <t>Tests\Feature\Ebanker\PackLandingServiceTest::test_a_composite_key_lands_one_row_per_pair</t>
        </is>
      </c>
    </row>
    <row r="8">
      <c r="A8" s="22" t="inlineStr">
        <is>
          <t>S1.3</t>
        </is>
      </c>
      <c r="B8" s="22" t="inlineStr">
        <is>
          <t>The effective interest rate and revenue recognition</t>
        </is>
      </c>
      <c r="C8" s="22" t="inlineStr">
        <is>
          <t>Solve the EIR per facility from its contractual flows and fees, roll the amortised cost forward monthly, and reconcile to the general ledger.</t>
        </is>
      </c>
      <c r="D8" s="23" t="inlineStr">
        <is>
          <t>Done</t>
        </is>
      </c>
      <c r="E8" s="22" t="inlineStr">
        <is>
          <t>The EIR engine, the roll-forward with cash from the ledger, the GL reconciliation, the EIR as at any date; 31 EIRs solved on the clean install, 12 locked, 19 awaiting the fee rulebook's approval.</t>
        </is>
      </c>
      <c r="F8" s="22" t="inlineStr"/>
      <c r="G8" s="22" t="inlineStr">
        <is>
          <t>Compliant in mechanics; see the IFRS 9 EIR workbook's findings.</t>
        </is>
      </c>
      <c r="H8" s="22" t="inlineStr">
        <is>
          <t>Financial Modelling, EIR Calculations: /eir-calculations; Report Hub, EIR as at a Date: /eir-as-at</t>
        </is>
      </c>
      <c r="I8" s="22" t="inlineStr"/>
      <c r="J8" s="22" t="inlineStr">
        <is>
          <t>(section 4.2)</t>
        </is>
      </c>
      <c r="K8" s="22" t="inlineStr">
        <is>
          <t>Tests\Feature\Eir\EirCalculationWorkflowTest; Tests\Feature\Eir\EirAsAtServiceTest</t>
        </is>
      </c>
    </row>
    <row r="9">
      <c r="A9" s="22" t="inlineStr">
        <is>
          <t>S1.4</t>
        </is>
      </c>
      <c r="B9" s="22" t="inlineStr">
        <is>
          <t>IFRS 9 model set-up</t>
        </is>
      </c>
      <c r="C9" s="22" t="inlineStr">
        <is>
          <t>Staging rules, PD, LGD and the forward-looking model, configurable and governed.</t>
        </is>
      </c>
      <c r="D9" s="23" t="inlineStr">
        <is>
          <t>Done</t>
        </is>
      </c>
      <c r="E9" s="22" t="inlineStr">
        <is>
          <t>The staging thresholds per the directive, the PD transition matrix and the LGD cohort workout as services, the forward-looking chain (correlation, regression, guardrail), the transmission methods with their cards, the scenario sets, all governed in the Governance Centre with 48 settings.</t>
        </is>
      </c>
      <c r="F9" s="22" t="inlineStr"/>
      <c r="G9" s="22" t="inlineStr">
        <is>
          <t>Compliant.</t>
        </is>
      </c>
      <c r="H9" s="22" t="inlineStr">
        <is>
          <t>Governance Centre: /eir-governance; Financial Modelling: /expected-credit-loss</t>
        </is>
      </c>
      <c r="I9" s="22" t="inlineStr"/>
      <c r="J9" s="22" t="inlineStr">
        <is>
          <t>(section 4.2)</t>
        </is>
      </c>
      <c r="K9" s="22" t="inlineStr">
        <is>
          <t>Tests\Feature\Eir\GovernanceServiceTest; Tests\Feature\Pd\PdAndLgdEngineTest; Tests\Feature\FLI\FliRouteServiceTest</t>
        </is>
      </c>
    </row>
    <row r="10">
      <c r="A10" s="22" t="inlineStr">
        <is>
          <t>S1.5</t>
        </is>
      </c>
      <c r="B10" s="22" t="inlineStr">
        <is>
          <t>The ECL engine</t>
        </is>
      </c>
      <c r="C10" s="22" t="inlineStr">
        <is>
          <t>Compute the expected credit loss per facility and in total, discounted, with the forward-looking adjustment and scenario weighting.</t>
        </is>
      </c>
      <c r="D10" s="23" t="inlineStr">
        <is>
          <t>Done</t>
        </is>
      </c>
      <c r="E10" s="22" t="inlineStr">
        <is>
          <t>The time-phased ECL discounted at the EIR, on the post-FLI PD, with the sensitivity across scenarios and the stress runs; on the clean install 8.94bn at August 2026 under the bootstrap label.</t>
        </is>
      </c>
      <c r="F10" s="22" t="inlineStr"/>
      <c r="G10" s="22" t="inlineStr">
        <is>
          <t>Compliant; the figures await MAIIC's reviews (fee rulebook, matrix and LGD key-locks, the fit and the set).</t>
        </is>
      </c>
      <c r="H10" s="22" t="inlineStr">
        <is>
          <t>Financial Modelling, ECL Calculation: /expected-credit-loss</t>
        </is>
      </c>
      <c r="I10" s="22" t="inlineStr"/>
      <c r="J10" s="22" t="inlineStr">
        <is>
          <t>scenario_weighting_method</t>
        </is>
      </c>
      <c r="K10" s="22" t="inlineStr">
        <is>
          <t>Tests\Feature\Ecl\TimePhasedEclServiceTest; Tests\Feature\Scenario\ScenarioSetServiceTest</t>
        </is>
      </c>
    </row>
    <row r="11">
      <c r="A11" s="22" t="inlineStr">
        <is>
          <t>S1.6</t>
        </is>
      </c>
      <c r="B11" s="22" t="inlineStr">
        <is>
          <t>Reports</t>
        </is>
      </c>
      <c r="C11" s="22" t="inlineStr">
        <is>
          <t>The IFRS 9 disclosure, regulatory and management reports, exportable.</t>
        </is>
      </c>
      <c r="D11" s="23" t="inlineStr">
        <is>
          <t>Done</t>
        </is>
      </c>
      <c r="E11" s="22" t="inlineStr">
        <is>
          <t>Thirty reports in the Report Hub, every one rendered by ifrs9:smoke-reports on the clean install; the EIR as at a date with its CSV; the auditor's pack.</t>
        </is>
      </c>
      <c r="F11" s="22" t="inlineStr"/>
      <c r="G11" s="22" t="inlineStr">
        <is>
          <t>Compliant.</t>
        </is>
      </c>
      <c r="H11" s="22" t="inlineStr">
        <is>
          <t>Report Hub: /ifrs9-reports</t>
        </is>
      </c>
      <c r="I11" s="22" t="inlineStr"/>
      <c r="J11" s="22" t="inlineStr"/>
      <c r="K11" s="22" t="inlineStr">
        <is>
          <t>Tests\Feature\Eir\EirAsAtServiceTest</t>
        </is>
      </c>
    </row>
    <row r="12">
      <c r="A12" s="22" t="inlineStr">
        <is>
          <t>S1.7</t>
        </is>
      </c>
      <c r="B12" s="22" t="inlineStr">
        <is>
          <t>The audit trail</t>
        </is>
      </c>
      <c r="C12" s="22" t="inlineStr">
        <is>
          <t>Every change recorded with who, when, the old and the new value.</t>
        </is>
      </c>
      <c r="D12" s="23" t="inlineStr">
        <is>
          <t>Done</t>
        </is>
      </c>
      <c r="E12" s="22" t="inlineStr">
        <is>
          <t>The audit log records every load, build, approval, staging, engine run, setting change and compliance sign-off with the old and new values; the Governance Centre's maker-checker is enforced in code.</t>
        </is>
      </c>
      <c r="F12" s="22" t="inlineStr"/>
      <c r="G12" s="22" t="inlineStr">
        <is>
          <t>Compliant.</t>
        </is>
      </c>
      <c r="H12" s="22" t="inlineStr">
        <is>
          <t>Governance Centre, Audit Trail: /audit-trail</t>
        </is>
      </c>
      <c r="I12" s="22" t="inlineStr"/>
      <c r="J12" s="22" t="inlineStr"/>
      <c r="K12" s="22" t="inlineStr">
        <is>
          <t>Tests\Feature\Eir\EirGovernanceControllerTest</t>
        </is>
      </c>
    </row>
    <row r="13">
      <c r="A13" s="22" t="inlineStr">
        <is>
          <t>S1.8</t>
        </is>
      </c>
      <c r="B13" s="22" t="inlineStr">
        <is>
          <t>The dashboard and the workspace</t>
        </is>
      </c>
      <c r="C13" s="22" t="inlineStr">
        <is>
          <t>A dashboard of the book and the allowance; a workspace of the period's tasks.</t>
        </is>
      </c>
      <c r="D13" s="23" t="inlineStr">
        <is>
          <t>Done</t>
        </is>
      </c>
      <c r="E13" s="22" t="inlineStr">
        <is>
          <t>The dashboard and the workspace exist under the suite layout with light and dark mode.</t>
        </is>
      </c>
      <c r="F13" s="22" t="inlineStr"/>
      <c r="G13" s="22" t="inlineStr">
        <is>
          <t>Compliant.</t>
        </is>
      </c>
      <c r="H13" s="22" t="inlineStr">
        <is>
          <t>Dashboard: /dashboard; Workspace: /workspace</t>
        </is>
      </c>
      <c r="I13" s="22" t="inlineStr"/>
      <c r="J13" s="22" t="inlineStr"/>
      <c r="K13" s="22" t="inlineStr">
        <is>
          <t>Tests\Feature\NavigationTest</t>
        </is>
      </c>
    </row>
    <row r="14">
      <c r="A14" s="22" t="inlineStr">
        <is>
          <t>S1.9</t>
        </is>
      </c>
      <c r="B14" s="22" t="inlineStr">
        <is>
          <t>Administration</t>
        </is>
      </c>
      <c r="C14" s="22" t="inlineStr">
        <is>
          <t>Users, roles and permissions, settings, support.</t>
        </is>
      </c>
      <c r="D14" s="23" t="inlineStr">
        <is>
          <t>Done</t>
        </is>
      </c>
      <c r="E14" s="22" t="inlineStr">
        <is>
          <t>User management, roles and permissions, settings and support tickets; the navigation is filtered by permission so no user sees a link that answers 403.</t>
        </is>
      </c>
      <c r="F14" s="22" t="inlineStr"/>
      <c r="G14" s="22" t="inlineStr">
        <is>
          <t>Compliant.</t>
        </is>
      </c>
      <c r="H14" s="22" t="inlineStr">
        <is>
          <t>Administration: /users</t>
        </is>
      </c>
      <c r="I14" s="22" t="inlineStr"/>
      <c r="J14" s="22" t="inlineStr"/>
      <c r="K14" s="22" t="inlineStr">
        <is>
          <t>Tests\Feature\NavigationTest::test_every_leaf_names_a_registered_route</t>
        </is>
      </c>
    </row>
    <row r="15">
      <c r="A15" s="15" t="inlineStr">
        <is>
          <t>DOCUMENTATION</t>
        </is>
      </c>
    </row>
    <row r="16">
      <c r="A16" s="22" t="inlineStr">
        <is>
          <t>D5</t>
        </is>
      </c>
      <c r="B16" s="22" t="inlineStr">
        <is>
          <t>User manual</t>
        </is>
      </c>
      <c r="C16" s="22" t="inlineStr">
        <is>
          <t>A user manual for the finance officer.</t>
        </is>
      </c>
      <c r="D16" s="23" t="inlineStr">
        <is>
          <t>Partially done</t>
        </is>
      </c>
      <c r="E16" s="22" t="inlineStr">
        <is>
          <t>The help centre carries the user manual with per-page help and a PDF; the navigation chapter and screenshots are to be redone for the suite layout.</t>
        </is>
      </c>
      <c r="F16" s="22" t="inlineStr"/>
      <c r="G16" s="22" t="inlineStr">
        <is>
          <t>Partially done.</t>
        </is>
      </c>
      <c r="H16" s="22" t="inlineStr">
        <is>
          <t>System Documentation, User Manual: /help</t>
        </is>
      </c>
      <c r="I16" s="22" t="inlineStr"/>
      <c r="J16" s="22" t="inlineStr"/>
      <c r="K16" s="22" t="inlineStr">
        <is>
          <t>Tests\Feature\NavigationTest</t>
        </is>
      </c>
    </row>
    <row r="17">
      <c r="A17" s="22" t="inlineStr">
        <is>
          <t>D6</t>
        </is>
      </c>
      <c r="B17" s="22" t="inlineStr">
        <is>
          <t>Administrator manual</t>
        </is>
      </c>
      <c r="C17" s="22" t="inlineStr">
        <is>
          <t>An administrator manual.</t>
        </is>
      </c>
      <c r="D17" s="23" t="inlineStr">
        <is>
          <t>Partially done</t>
        </is>
      </c>
      <c r="E17" s="22" t="inlineStr">
        <is>
          <t>The administrator manual exists in the help centre; the passages naming the old menu groups are to be re-worded.</t>
        </is>
      </c>
      <c r="F17" s="22" t="inlineStr"/>
      <c r="G17" s="22" t="inlineStr">
        <is>
          <t>Partially done.</t>
        </is>
      </c>
      <c r="H17" s="22" t="inlineStr">
        <is>
          <t>System Documentation, Administrator Manual: /help/admin</t>
        </is>
      </c>
      <c r="I17" s="22" t="inlineStr"/>
      <c r="J17" s="22" t="inlineStr"/>
      <c r="K17" s="22" t="inlineStr">
        <is>
          <t>Tests\Feature\NavigationTest</t>
        </is>
      </c>
    </row>
    <row r="18">
      <c r="A18" s="22" t="inlineStr">
        <is>
          <t>D7</t>
        </is>
      </c>
      <c r="B18" s="22" t="inlineStr">
        <is>
          <t>Technical manual and installation guide</t>
        </is>
      </c>
      <c r="C18" s="22" t="inlineStr">
        <is>
          <t>A technical manual and an installation guide.</t>
        </is>
      </c>
      <c r="D18" s="23" t="inlineStr">
        <is>
          <t>Done</t>
        </is>
      </c>
      <c r="E18" s="22" t="inlineStr">
        <is>
          <t>Both are repository Markdown under docs/manuals, rendered in the system; the installation guide's section 9.8 gives the bootstrap and the monthly feed as the procedure.</t>
        </is>
      </c>
      <c r="F18" s="22" t="inlineStr"/>
      <c r="G18" s="22" t="inlineStr">
        <is>
          <t>Compliant.</t>
        </is>
      </c>
      <c r="H18" s="22" t="inlineStr">
        <is>
          <t>System Documentation, Technical Manual: /docs/technical; Installation Guide: /docs/installation</t>
        </is>
      </c>
      <c r="I18" s="22" t="inlineStr"/>
      <c r="J18" s="22" t="inlineStr"/>
      <c r="K18" s="22" t="inlineStr">
        <is>
          <t>Tests\Feature\NavigationTest</t>
        </is>
      </c>
    </row>
    <row r="19">
      <c r="A19" s="15" t="inlineStr">
        <is>
          <t>ACCEPTANCE</t>
        </is>
      </c>
    </row>
    <row r="20">
      <c r="A20" s="22" t="inlineStr">
        <is>
          <t>A1</t>
        </is>
      </c>
      <c r="B20" s="22" t="inlineStr">
        <is>
          <t>The specification's acceptance tests</t>
        </is>
      </c>
      <c r="C20" s="22" t="inlineStr">
        <is>
          <t>The baselines of specification section 9 pass on the production copy.</t>
        </is>
      </c>
      <c r="D20" s="23" t="inlineStr">
        <is>
          <t>Partially done</t>
        </is>
      </c>
      <c r="E20" s="22" t="inlineStr">
        <is>
          <t>Nine golden checks pass on the clean install (the Baselines sheet of every workbook); the ECL at the year-ends and the revenue shift become golden numbers on the first run Dr Thom approves.</t>
        </is>
      </c>
      <c r="F20" s="22" t="inlineStr"/>
      <c r="G20" s="22" t="inlineStr">
        <is>
          <t>Partially done: the year-end golden numbers await MAIIC's decisions.</t>
        </is>
      </c>
      <c r="H20" s="22" t="inlineStr">
        <is>
          <t>eir:bootstrap --verify; eir:baselines</t>
        </is>
      </c>
      <c r="I20" s="22" t="inlineStr"/>
      <c r="J20" s="22" t="inlineStr"/>
      <c r="K20" s="22" t="inlineStr">
        <is>
          <t>Tests\Feature\Ebanker\LoanBookBuildServiceTest</t>
        </is>
      </c>
    </row>
  </sheetData>
  <autoFilter ref="A4:K20"/>
  <mergeCells count="4">
    <mergeCell ref="A2:K2"/>
    <mergeCell ref="A15:K15"/>
    <mergeCell ref="A5:K5"/>
    <mergeCell ref="A19:K19"/>
  </mergeCells>
  <conditionalFormatting sqref="D5:D20">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0">
    <cfRule type="expression" priority="6" dxfId="2">
      <formula>AND($D5="Done",$K5="")</formula>
    </cfRule>
  </conditionalFormatting>
  <dataValidations count="1">
    <dataValidation sqref="D5:D20"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6"/>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2" t="inlineStr">
        <is>
          <t>S1.1 to A1</t>
        </is>
      </c>
      <c r="C5" s="22" t="inlineStr">
        <is>
          <t>The clause numbers of the signed schedule are not confirmed</t>
        </is>
      </c>
      <c r="D5" s="22" t="inlineStr">
        <is>
          <t>The rows follow the solution components the navigation was built on; the signed Schedule 1's numbering is not in the repository.</t>
        </is>
      </c>
      <c r="E5" s="22" t="inlineStr">
        <is>
          <t>The workbook cannot be cited clause by clause at acceptance.</t>
        </is>
      </c>
      <c r="F5" s="22" t="inlineStr">
        <is>
          <t>Dr Thom supplies the signed schedule; the references are replaced by its clause numbers.</t>
        </is>
      </c>
      <c r="G5" s="22" t="inlineStr">
        <is>
          <t>Dr Thom</t>
        </is>
      </c>
      <c r="H5" s="22" t="inlineStr">
        <is>
          <t>Open</t>
        </is>
      </c>
    </row>
    <row r="6">
      <c r="A6" s="22" t="inlineStr">
        <is>
          <t>F2</t>
        </is>
      </c>
      <c r="B6" s="24" t="inlineStr">
        <is>
          <t>D5, D6</t>
        </is>
      </c>
      <c r="C6" s="22" t="inlineStr">
        <is>
          <t>The manuals name the old menu groups</t>
        </is>
      </c>
      <c r="D6" s="22" t="inlineStr">
        <is>
          <t>Fifteen help-centre passages and the user manual's navigation chapter still refer to the groups the suite layout replaced.</t>
        </is>
      </c>
      <c r="E6" s="22" t="inlineStr">
        <is>
          <t>A reader is sent to a group that no longer exists.</t>
        </is>
      </c>
      <c r="F6" s="22" t="inlineStr">
        <is>
          <t>Re-word the passages and retake the screenshots (spec 11.6).</t>
        </is>
      </c>
      <c r="G6" s="22" t="inlineStr">
        <is>
          <t>Dupleix</t>
        </is>
      </c>
      <c r="H6" s="22" t="inlineStr">
        <is>
          <t>Open</t>
        </is>
      </c>
    </row>
  </sheetData>
  <dataValidations count="1">
    <dataValidation sqref="H5:H6" showDropDown="0" showInputMessage="0" showErrorMessage="0" allowBlank="1" type="list">
      <formula1>"Open,In progress,Closed,Deferred"</formula1>
    </dataValidation>
  </dataValidations>
  <hyperlinks>
    <hyperlink ref="A2" location="'Contents'!A1" display="Back to Contents"/>
    <hyperlink ref="B6" location="'Audit'!A16" display="D5, D6"/>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20:53:30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2026-10-08T18:53:30Z</dcterms:created>
  <dcterms:modified xmlns:dcterms="http://purl.org/dc/terms/" xmlns:xsi="http://www.w3.org/2001/XMLSchema-instance" xsi:type="dcterms:W3CDTF">2026-10-08T18:53:30Z</dcterms:modified>
</cp:coreProperties>
</file>