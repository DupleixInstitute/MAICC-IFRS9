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'Audit'!$A$4:$K$22</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35"/>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IFRS 7 and IAS 1 - presentation and disclosure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COUNTA(Audit!$A$5:$A$22)-5</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IAS 1 PRESENTATION</t>
        </is>
      </c>
    </row>
    <row r="15">
      <c r="A15" s="16" t="inlineStr">
        <is>
          <t>IAS 1.82(a)</t>
        </is>
      </c>
      <c r="B15" s="17" t="inlineStr">
        <is>
          <t>Interest revenue at the effective interest method as its own line</t>
        </is>
      </c>
      <c r="C15" s="16">
        <f>Audit!D6</f>
        <v/>
      </c>
      <c r="D15" s="17" t="inlineStr">
        <is>
          <t>Audit row 6</t>
        </is>
      </c>
    </row>
    <row r="16">
      <c r="A16" s="15" t="inlineStr">
        <is>
          <t>IFRS 7 INCOME AND EXPENSE</t>
        </is>
      </c>
    </row>
    <row r="17">
      <c r="A17" s="16" t="inlineStr">
        <is>
          <t>7.20(b)</t>
        </is>
      </c>
      <c r="B17" s="17" t="inlineStr">
        <is>
          <t>Total interest revenue (effective interest method)</t>
        </is>
      </c>
      <c r="C17" s="16">
        <f>Audit!D8</f>
        <v/>
      </c>
      <c r="D17" s="17" t="inlineStr">
        <is>
          <t>Audit row 8</t>
        </is>
      </c>
    </row>
    <row r="18">
      <c r="A18" s="16" t="inlineStr">
        <is>
          <t>7.20A</t>
        </is>
      </c>
      <c r="B18" s="17" t="inlineStr">
        <is>
          <t>Gain or loss on derecognition of amortised-cost assets</t>
        </is>
      </c>
      <c r="C18" s="16">
        <f>Audit!D9</f>
        <v/>
      </c>
      <c r="D18" s="17" t="inlineStr">
        <is>
          <t>Audit row 9</t>
        </is>
      </c>
    </row>
    <row r="19">
      <c r="A19" s="15" t="inlineStr">
        <is>
          <t>IFRS 7 CREDIT RISK</t>
        </is>
      </c>
    </row>
    <row r="20">
      <c r="A20" s="16" t="inlineStr">
        <is>
          <t>7.35F</t>
        </is>
      </c>
      <c r="B20" s="17" t="inlineStr">
        <is>
          <t>Credit risk management practices</t>
        </is>
      </c>
      <c r="C20" s="16">
        <f>Audit!D11</f>
        <v/>
      </c>
      <c r="D20" s="17" t="inlineStr">
        <is>
          <t>Audit row 11</t>
        </is>
      </c>
    </row>
    <row r="21">
      <c r="A21" s="16" t="inlineStr">
        <is>
          <t>7.35G</t>
        </is>
      </c>
      <c r="B21" s="17" t="inlineStr">
        <is>
          <t>Inputs, assumptions and estimation techniques; sensitivity</t>
        </is>
      </c>
      <c r="C21" s="16">
        <f>Audit!D12</f>
        <v/>
      </c>
      <c r="D21" s="17" t="inlineStr">
        <is>
          <t>Audit row 12</t>
        </is>
      </c>
    </row>
    <row r="22">
      <c r="A22" s="16" t="inlineStr">
        <is>
          <t>7.35H</t>
        </is>
      </c>
      <c r="B22" s="17" t="inlineStr">
        <is>
          <t>Reconciliation of the loss allowance</t>
        </is>
      </c>
      <c r="C22" s="16">
        <f>Audit!D13</f>
        <v/>
      </c>
      <c r="D22" s="17" t="inlineStr">
        <is>
          <t>Audit row 13</t>
        </is>
      </c>
    </row>
    <row r="23">
      <c r="A23" s="16" t="inlineStr">
        <is>
          <t>7.35I</t>
        </is>
      </c>
      <c r="B23" s="17" t="inlineStr">
        <is>
          <t>Changes in the gross carrying amount that contributed to changes in the allowance</t>
        </is>
      </c>
      <c r="C23" s="16">
        <f>Audit!D14</f>
        <v/>
      </c>
      <c r="D23" s="17" t="inlineStr">
        <is>
          <t>Audit row 14</t>
        </is>
      </c>
    </row>
    <row r="24">
      <c r="A24" s="16" t="inlineStr">
        <is>
          <t>7.35J</t>
        </is>
      </c>
      <c r="B24" s="17" t="inlineStr">
        <is>
          <t>Modified financial assets</t>
        </is>
      </c>
      <c r="C24" s="16">
        <f>Audit!D15</f>
        <v/>
      </c>
      <c r="D24" s="17" t="inlineStr">
        <is>
          <t>Audit row 15</t>
        </is>
      </c>
    </row>
    <row r="25">
      <c r="A25" s="16" t="inlineStr">
        <is>
          <t>7.35K</t>
        </is>
      </c>
      <c r="B25" s="17" t="inlineStr">
        <is>
          <t>Collateral and other credit enhancements</t>
        </is>
      </c>
      <c r="C25" s="16">
        <f>Audit!D16</f>
        <v/>
      </c>
      <c r="D25" s="17" t="inlineStr">
        <is>
          <t>Audit row 16</t>
        </is>
      </c>
    </row>
    <row r="26">
      <c r="A26" s="16" t="inlineStr">
        <is>
          <t>7.35L</t>
        </is>
      </c>
      <c r="B26" s="17" t="inlineStr">
        <is>
          <t>Written-off assets still subject to enforcement</t>
        </is>
      </c>
      <c r="C26" s="16">
        <f>Audit!D17</f>
        <v/>
      </c>
      <c r="D26" s="17" t="inlineStr">
        <is>
          <t>Audit row 17</t>
        </is>
      </c>
    </row>
    <row r="27">
      <c r="A27" s="16" t="inlineStr">
        <is>
          <t>7.35M</t>
        </is>
      </c>
      <c r="B27" s="17" t="inlineStr">
        <is>
          <t>Credit risk exposure by credit-risk rating grade and stage</t>
        </is>
      </c>
      <c r="C27" s="16">
        <f>Audit!D18</f>
        <v/>
      </c>
      <c r="D27" s="17" t="inlineStr">
        <is>
          <t>Audit row 18</t>
        </is>
      </c>
    </row>
    <row r="28">
      <c r="A28" s="15" t="inlineStr">
        <is>
          <t>IFRS 7 CONCENTRATIONS</t>
        </is>
      </c>
    </row>
    <row r="29">
      <c r="A29" s="16" t="inlineStr">
        <is>
          <t>7.34(c)</t>
        </is>
      </c>
      <c r="B29" s="17" t="inlineStr">
        <is>
          <t>Concentrations of risk</t>
        </is>
      </c>
      <c r="C29" s="16">
        <f>Audit!D20</f>
        <v/>
      </c>
      <c r="D29" s="17" t="inlineStr">
        <is>
          <t>Audit row 20</t>
        </is>
      </c>
    </row>
    <row r="30">
      <c r="A30" s="15" t="inlineStr">
        <is>
          <t>THE PACK</t>
        </is>
      </c>
    </row>
    <row r="31">
      <c r="A31" s="16" t="inlineStr">
        <is>
          <t>12.5</t>
        </is>
      </c>
      <c r="B31" s="17" t="inlineStr">
        <is>
          <t>The auditor's pack</t>
        </is>
      </c>
      <c r="C31" s="16">
        <f>Audit!D22</f>
        <v/>
      </c>
      <c r="D31" s="17" t="inlineStr">
        <is>
          <t>Audit row 22</t>
        </is>
      </c>
    </row>
    <row r="33">
      <c r="A33" s="18" t="inlineStr">
        <is>
          <t>Findings that need a decision or a fix: see the 'Findings' sheet</t>
        </is>
      </c>
    </row>
    <row r="34">
      <c r="A34" s="18" t="inlineStr">
        <is>
          <t>The acceptance ties read from the system: see the 'Baselines' sheet</t>
        </is>
      </c>
    </row>
    <row r="35">
      <c r="A35" s="19" t="inlineStr">
        <is>
          <t>Source: IAS 1.82(a) (interest revenue calculated using the effective interest method presented separately); IFRS 7.20 (income, expense, gains and losses), 7.34(c) (concentrations of risk), 7.35A to 7.35M (credit risk: practices, inputs and assumptions, the allowance reconciliation 7.35H, changes in the gross carrying amount 7.35I, collateral 7.35K, write-off 7.35L, exposure by grade 7.35M). Spec v4 sections 6.11, 12, 15.7.</t>
        </is>
      </c>
    </row>
  </sheetData>
  <mergeCells count="5">
    <mergeCell ref="A30:D30"/>
    <mergeCell ref="A16:D16"/>
    <mergeCell ref="A19:D19"/>
    <mergeCell ref="A28:D28"/>
    <mergeCell ref="A14:D14"/>
  </mergeCells>
  <conditionalFormatting sqref="C14:C32">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Interest revenue at the effective interest method as its own line"/>
    <hyperlink ref="D15" location="'Audit'!A6" display="Audit row 6"/>
    <hyperlink ref="B17" location="'Audit'!A8" display="Total interest revenue (effective interest method)"/>
    <hyperlink ref="D17" location="'Audit'!A8" display="Audit row 8"/>
    <hyperlink ref="B18" location="'Audit'!A9" display="Gain or loss on derecognition of amortised-cost assets"/>
    <hyperlink ref="D18" location="'Audit'!A9" display="Audit row 9"/>
    <hyperlink ref="B20" location="'Audit'!A11" display="Credit risk management practices"/>
    <hyperlink ref="D20" location="'Audit'!A11" display="Audit row 11"/>
    <hyperlink ref="B21" location="'Audit'!A12" display="Inputs, assumptions and estimation techniques; sensitivity"/>
    <hyperlink ref="D21" location="'Audit'!A12" display="Audit row 12"/>
    <hyperlink ref="B22" location="'Audit'!A13" display="Reconciliation of the loss allowance"/>
    <hyperlink ref="D22" location="'Audit'!A13" display="Audit row 13"/>
    <hyperlink ref="B23" location="'Audit'!A14" display="Changes in the gross carrying amount that contributed to changes in the allowance"/>
    <hyperlink ref="D23" location="'Audit'!A14" display="Audit row 14"/>
    <hyperlink ref="B24" location="'Audit'!A15" display="Modified financial assets"/>
    <hyperlink ref="D24" location="'Audit'!A15" display="Audit row 15"/>
    <hyperlink ref="B25" location="'Audit'!A16" display="Collateral and other credit enhancements"/>
    <hyperlink ref="D25" location="'Audit'!A16" display="Audit row 16"/>
    <hyperlink ref="B26" location="'Audit'!A17" display="Written-off assets still subject to enforcement"/>
    <hyperlink ref="D26" location="'Audit'!A17" display="Audit row 17"/>
    <hyperlink ref="B27" location="'Audit'!A18" display="Credit risk exposure by credit-risk rating grade and stage"/>
    <hyperlink ref="D27" location="'Audit'!A18" display="Audit row 18"/>
    <hyperlink ref="B29" location="'Audit'!A20" display="Concentrations of risk"/>
    <hyperlink ref="D29" location="'Audit'!A20" display="Audit row 20"/>
    <hyperlink ref="B31" location="'Audit'!A22" display="The auditor's pack"/>
    <hyperlink ref="D31" location="'Audit'!A22" display="Audit row 22"/>
    <hyperlink ref="A33" location="'Findings'!A1" display="Findings that need a decision or a fix: see the 'Findings' sheet"/>
    <hyperlink ref="A34"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IAS 1 Presentation of Financial Statements (1.82(a)) and IFRS 7 Financial Instruments: Disclosures (7.20, 7.34(c), 7.35A to 7.35M) - the lines and disclosures the system produces - compliance audit</t>
        </is>
      </c>
    </row>
    <row r="2" ht="30" customHeight="1">
      <c r="A2" s="21" t="inlineStr">
        <is>
          <t>Malawi Agricultural and Industrial Investment Company (MAIIC) - IFRS 9 EIR and ECL system - build of 14 October 2026 (branch eir_revenue_recognition, commit abe140d) against specification v4. As of 14 October 2026: the report catalogue (29 reports in the Reports hub, rendered by ifrs9:smoke-reports), the IFRS 9 note (/ifrs9-reports/fs-disclosure), the EIR as at a date, the RBM Return, the scenario sets and the stress runs, at commit abe140d; figures from the fresh bootstrap maiic_ifrs9_results2 of 13 October 2026 (before commit 216aee2), read with SELECTs only. Reviewer: Deloitte.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IAS 1 PRESENTATION</t>
        </is>
      </c>
    </row>
    <row r="6">
      <c r="A6" s="22" t="inlineStr">
        <is>
          <t>IAS 1.82(a)</t>
        </is>
      </c>
      <c r="B6" s="22" t="inlineStr">
        <is>
          <t>Interest revenue at the effective interest method as its own line</t>
        </is>
      </c>
      <c r="C6" s="22" t="inlineStr">
        <is>
          <t>The statement of profit or loss presents interest revenue calculated using the effective interest method separately.</t>
        </is>
      </c>
      <c r="D6" s="23" t="inlineStr">
        <is>
          <t>Partially done</t>
        </is>
      </c>
      <c r="E6" s="22" t="inlineStr">
        <is>
          <t>The EIR as at a date gives the EIR interest, the contractual interest posted and the difference for any period to any date, by product, by GL and in total, with CSV, Excel and PDF; the GL reconciliation ties the contractual interest to the ledger. It covers only the loans with a locked EIR: 14 of 144 contracts on the fresh bootstrap (13 with roll-forward rows from July 2024 to September 2026). The revenue shift for 2024 and 2025 across the book (spec P9) is not yet computed.</t>
        </is>
      </c>
      <c r="F6" s="22" t="inlineStr">
        <is>
          <t>Fresh bootstrap maiic_ifrs9_results2 (13 October 2026, before commit 216aee2). Until 14 October 2026 this row was marked Done.</t>
        </is>
      </c>
      <c r="G6" s="22" t="inlineStr">
        <is>
          <t>Partially done: the line is produced for the loans with a locked EIR; the book's figure needs the remaining EIRs locked (fee reviews) and the P9 run.</t>
        </is>
      </c>
      <c r="H6" s="22" t="inlineStr">
        <is>
          <t>EIR Calculations, EIR as at a Date: /eir-as-at; GL Reconciliation: /eir-reconciliation</t>
        </is>
      </c>
      <c r="I6" s="22" t="inlineStr"/>
      <c r="J6" s="22" t="inlineStr">
        <is>
          <t>stage3_interest_basis</t>
        </is>
      </c>
      <c r="K6" s="22" t="inlineStr">
        <is>
          <t>Tests\Feature\Eir\EirAsAtServiceTest::test_the_book_rolls_up_by_product_and_gl</t>
        </is>
      </c>
    </row>
    <row r="7">
      <c r="A7" s="15" t="inlineStr">
        <is>
          <t>IFRS 7 INCOME AND EXPENSE</t>
        </is>
      </c>
    </row>
    <row r="8">
      <c r="A8" s="22" t="inlineStr">
        <is>
          <t>7.20(b)</t>
        </is>
      </c>
      <c r="B8" s="22" t="inlineStr">
        <is>
          <t>Total interest revenue (effective interest method)</t>
        </is>
      </c>
      <c r="C8" s="22" t="inlineStr">
        <is>
          <t>Disclose total interest revenue calculated using the effective interest method for financial assets at amortised cost.</t>
        </is>
      </c>
      <c r="D8" s="23" t="inlineStr">
        <is>
          <t>Partially done</t>
        </is>
      </c>
      <c r="E8" s="22" t="inlineStr">
        <is>
          <t>As IAS 1.82(a): the book view's EIR interest year to date, for the loans with a locked EIR only.</t>
        </is>
      </c>
      <c r="F8" s="22" t="inlineStr">
        <is>
          <t>Until 14 October 2026 this row was marked Done.</t>
        </is>
      </c>
      <c r="G8" s="22" t="inlineStr">
        <is>
          <t>Partially done, as IAS 1.82(a).</t>
        </is>
      </c>
      <c r="H8" s="22" t="inlineStr">
        <is>
          <t>/eir-as-at</t>
        </is>
      </c>
      <c r="I8" s="22" t="inlineStr"/>
      <c r="J8" s="22" t="inlineStr">
        <is>
          <t>stage3_interest_basis</t>
        </is>
      </c>
      <c r="K8" s="22" t="inlineStr">
        <is>
          <t>Tests\Feature\Eir\EirAsAtServiceTest::test_the_book_rolls_up_by_product_and_gl</t>
        </is>
      </c>
    </row>
    <row r="9">
      <c r="A9" s="22" t="inlineStr">
        <is>
          <t>7.20A</t>
        </is>
      </c>
      <c r="B9" s="22" t="inlineStr">
        <is>
          <t>Gain or loss on derecognition of amortised-cost assets</t>
        </is>
      </c>
      <c r="C9" s="22" t="inlineStr">
        <is>
          <t>Disclose the gain or loss on derecognition and the reasons.</t>
        </is>
      </c>
      <c r="D9" s="23" t="inlineStr">
        <is>
          <t>Partially done</t>
        </is>
      </c>
      <c r="E9" s="22" t="inlineStr">
        <is>
          <t>The IFRS 9 note's section (h) discloses the carrying amount derecognised on a substantial modification and the gain or loss on it, from the restructure register as the revenue run applied it (RestructureRegisterService::ifrs7Disclosures; the 10 percent test against the governed modification_threshold, and the qualitative factors, in ModificationAccountingService), on the screen and in the PDF, Word, Excel and CSV. A candidate found in E-Banker's reschedule history is never disclosed until two people confirm it: the note counts them instead. On the scratch clone maiic_ifrs9_wire of 14 October 2026 (a copy of the restructure build's database, migrated): 0 confirmed, 70 candidates awaiting classification, so the line is nil and says so. A derecognition by sale or transfer has no record in the system.</t>
        </is>
      </c>
      <c r="F9" s="22" t="inlineStr">
        <is>
          <t>Until 14 October 2026 this row was Outstanding: modification and derecognition on modification were not built.</t>
        </is>
      </c>
      <c r="G9" s="22" t="inlineStr">
        <is>
          <t>Partially done: built and wired to the note; MAIIC classifies and approves the candidates, and confirms that no loan was sold or transferred.</t>
        </is>
      </c>
      <c r="H9" s="22" t="inlineStr">
        <is>
          <t>Reports: IFRS 9 note (FS disclosure) /ifrs9-reports/fs-disclosure (h); EIR Data, Restructures &amp; Resets: /eir-restructures</t>
        </is>
      </c>
      <c r="I9" s="22" t="inlineStr"/>
      <c r="J9" s="22" t="inlineStr">
        <is>
          <t>modification_threshold</t>
        </is>
      </c>
      <c r="K9" s="22" t="inlineStr">
        <is>
          <t>Tests\Feature\Reports\ModifiedAssetsDisclosureTest::test_the_note_discloses_35j_and_20a_from_the_applied_modifications_and_counts_the_candidates; Tests\Feature\Eir\ModificationAccountingTest::test_derecognition_recognises_version_two_at_its_fair_value_with_a_new_eir</t>
        </is>
      </c>
    </row>
    <row r="10">
      <c r="A10" s="15" t="inlineStr">
        <is>
          <t>IFRS 7 CREDIT RISK</t>
        </is>
      </c>
    </row>
    <row r="11">
      <c r="A11" s="22" t="inlineStr">
        <is>
          <t>7.35F</t>
        </is>
      </c>
      <c r="B11" s="22" t="inlineStr">
        <is>
          <t>Credit risk management practices</t>
        </is>
      </c>
      <c r="C11" s="22" t="inlineStr">
        <is>
          <t>Explain how the entity determines a significant increase in credit risk and default, how instruments were grouped, and the write-off policy.</t>
        </is>
      </c>
      <c r="D11" s="23" t="inlineStr">
        <is>
          <t>Partially done</t>
        </is>
      </c>
      <c r="E11" s="22" t="inlineStr">
        <is>
          <t>The staging thresholds by facility class with their rebuttal basis, the missed-instalment trigger, the cure period, the SICR groups, the PD and LGD segmentation and the 61 catalogue settings are in the system with their rationale, and the IFRS 9 note writes its policy text from them. The write-off policy is MAIIC's to state; the write-off classifier and register exist (220a5a6).</t>
        </is>
      </c>
      <c r="F11" s="22" t="inlineStr">
        <is>
          <t>Until 14 October 2026 the row said 48 governed settings.</t>
        </is>
      </c>
      <c r="G11" s="22" t="inlineStr">
        <is>
          <t>Partially done: the write-off policy is evidence awaited.</t>
        </is>
      </c>
      <c r="H11" s="22" t="inlineStr">
        <is>
          <t>Governance: Governance Centre /eir-governance; Settings, Staging basis: /setting?tab=staging; Reports: IFRS 9 note (FS disclosure) /ifrs9-reports/fs-disclosure</t>
        </is>
      </c>
      <c r="I11" s="22" t="inlineStr"/>
      <c r="J11" s="22" t="inlineStr">
        <is>
          <t>dpd_basis; stage3_missed_instalments; stage_cure_months; pd_segmentation_basis</t>
        </is>
      </c>
      <c r="K11" s="22" t="inlineStr">
        <is>
          <t>Tests\Feature\Eir\StagingThresholdSeederTest</t>
        </is>
      </c>
    </row>
    <row r="12">
      <c r="A12" s="22" t="inlineStr">
        <is>
          <t>7.35G</t>
        </is>
      </c>
      <c r="B12" s="22" t="inlineStr">
        <is>
          <t>Inputs, assumptions and estimation techniques; sensitivity</t>
        </is>
      </c>
      <c r="C12" s="22" t="inlineStr">
        <is>
          <t>Explain the basis of inputs and assumptions, how forward-looking information was incorporated, and changes from the previous period.</t>
        </is>
      </c>
      <c r="D12" s="23" t="inlineStr">
        <is>
          <t>Done</t>
        </is>
      </c>
      <c r="E12" s="22" t="inlineStr">
        <is>
          <t>The scenario set stores its sensitivity (the ECL under each scenario, weighted) and the stress runs save the ECL under each scenario; the transmission method cards explain the forward-looking route; the IFRS 9 note writes its assumptions from the governed settings. The hub's Sensitivity entry now redirects to Stress Testing.</t>
        </is>
      </c>
      <c r="F12" s="22" t="inlineStr">
        <is>
          <t>Until 14 October 2026 the test cited was the scenario set's approval test.</t>
        </is>
      </c>
      <c r="G12" s="22" t="inlineStr">
        <is>
          <t>Compliant.</t>
        </is>
      </c>
      <c r="H12" s="22" t="inlineStr">
        <is>
          <t>Forward-Looking Information, Scenario Sets: /scenario-sets; Stress Testing: /stress-testing; Reports: IFRS 9 note (FS disclosure) /ifrs9-reports/fs-disclosure</t>
        </is>
      </c>
      <c r="I12" s="22" t="inlineStr"/>
      <c r="J12" s="22" t="inlineStr">
        <is>
          <t>scenario_weighting_method; fli_transmission_method</t>
        </is>
      </c>
      <c r="K12" s="22" t="inlineStr">
        <is>
          <t>Tests\Feature\FLI\FliRouteServiceTest::test_the_ecl_on_the_post_fli_pd_is_the_weighted_ecl_across_scenarios; Tests\Feature\StressTestingReconciliationTest::test_driver_run_matches_hand_computed_ecl</t>
        </is>
      </c>
    </row>
    <row r="13">
      <c r="A13" s="22" t="inlineStr">
        <is>
          <t>7.35H</t>
        </is>
      </c>
      <c r="B13" s="22" t="inlineStr">
        <is>
          <t>Reconciliation of the loss allowance</t>
        </is>
      </c>
      <c r="C13" s="22" t="inlineStr">
        <is>
          <t>Reconcile the opening to the closing loss allowance by class, showing changes from staging transfers, originations, derecognitions, write-offs and remeasurement.</t>
        </is>
      </c>
      <c r="D13" s="23" t="inlineStr">
        <is>
          <t>Partially done</t>
        </is>
      </c>
      <c r="E13" s="22" t="inlineStr">
        <is>
          <t>The IFRS 9 note reconciles opening to closing by stage with transfers, new assets, derecognitions, write-offs and remeasurement, and refuses a download unless every check passes (EclMovementAttribution). Since 14 October 2026: the allowance is the booked (discounted) allowance with a table from the undiscounted measure (projection, discounting effect), and the note fails closed while any loan lacks its discounted figure; the write-off line carries the allowance each write-off used, from the ledger's write-offs (WriteOffClassifier) and the approved register (WriteOffSource), and the ECL Reconciliation export and the hub's bridge and charge carry the same. December 2025 to September 2026 on the fresh bootstrap: 20 contracts written off, using 22,262,632.66 of allowance (it had shown nil); 38 loans at September 2026 have no discounted figure, so the note is not yet issuable.</t>
        </is>
      </c>
      <c r="F13" s="22" t="inlineStr">
        <is>
          <t>Fresh bootstrap maiic_ifrs9_results2 (13 October 2026, before commit 216aee2). Until 14 October 2026 this row was marked Done, with nil write-offs and the undiscounted allowance.</t>
        </is>
      </c>
      <c r="G13" s="22" t="inlineStr">
        <is>
          <t>Partially done: built; the note is issuable once the 38 loans carry their discounted allowance.</t>
        </is>
      </c>
      <c r="H13" s="22" t="inlineStr">
        <is>
          <t>Reports: IFRS 9 note (FS disclosure) /ifrs9-reports/fs-disclosure; ECL Reconciliation: /ifrs9-reports/ecl-reconciliation and /report/ecl-reconciliation</t>
        </is>
      </c>
      <c r="I13" s="22" t="inlineStr"/>
      <c r="J13" s="22" t="inlineStr"/>
      <c r="K13" s="22" t="inlineStr">
        <is>
          <t>Tests\Unit\EclMovementAttributionTest::test_every_column_ties; Tests\Unit\EclMovementAttributionTest::test_new_derecognised_and_written_off; Tests\Unit\EclMovementAttributionTest::test_a_written_off_amount_takes_its_own_line_in_both_books_gone_and_new; Tests\Feature\Reports\BookedAllowanceAndWriteOffsTest::test_the_ifrs9_note_carries_the_booked_allowance_and_the_amounts_written_off</t>
        </is>
      </c>
    </row>
    <row r="14">
      <c r="A14" s="22" t="inlineStr">
        <is>
          <t>7.35I</t>
        </is>
      </c>
      <c r="B14" s="22" t="inlineStr">
        <is>
          <t>Changes in the gross carrying amount that contributed to changes in the allowance</t>
        </is>
      </c>
      <c r="C14" s="22" t="inlineStr">
        <is>
          <t>Explain how significant changes in the gross carrying amount contributed to changes in the loss allowance.</t>
        </is>
      </c>
      <c r="D14" s="23" t="inlineStr">
        <is>
          <t>Done</t>
        </is>
      </c>
      <c r="E14" s="22" t="inlineStr">
        <is>
          <t>The loan book of every month from July 2024 holds the gross carrying amount derived from the ledger with its provenance; the IFRS 9 note's gross table and the Gross Movement report render. Since 14 October 2026 the gross write-off line of the note and the Loan Book Reconciliation's written-off line (with the list) read the ledger's write-offs and the approved register (WriteOffSource); the filter on contract_status that never matched is gone. December 2025 to September 2026: 38,492,032.54 written off (TRF 3 of 29 June 2026).</t>
        </is>
      </c>
      <c r="F14" s="22" t="inlineStr">
        <is>
          <t>Fresh bootstrap maiic_ifrs9_results2 (13 October 2026, before commit 216aee2). Until 14 October 2026 the write-off line was always nil.</t>
        </is>
      </c>
      <c r="G14" s="22" t="inlineStr">
        <is>
          <t>Compliant.</t>
        </is>
      </c>
      <c r="H14" s="22" t="inlineStr">
        <is>
          <t>Reports: IFRS 9 note (FS disclosure) /ifrs9-reports/fs-disclosure; Gross Movement /ifrs9-reports/gross-movement; Loan Book Reconciliation /report/loan-book-reconciliation; Disbursements /report/disbursement-report</t>
        </is>
      </c>
      <c r="I14" s="22" t="inlineStr"/>
      <c r="J14" s="22" t="inlineStr">
        <is>
          <t>loan_book_build_method</t>
        </is>
      </c>
      <c r="K14" s="22" t="inlineStr">
        <is>
          <t>Tests\Feature\Ebanker\LoanBookBuildServiceTest::test_method_b_derives_the_carrying_amount_from_the_ledger_and_keeps_the_stored_figure_beside_it; Tests\Feature\Reports\BookedAllowanceAndWriteOffsTest::test_the_ecl_reconciliation_and_the_loan_book_reconciliation_carry_the_write_offs</t>
        </is>
      </c>
    </row>
    <row r="15">
      <c r="A15" s="22" t="inlineStr">
        <is>
          <t>7.35J</t>
        </is>
      </c>
      <c r="B15" s="22" t="inlineStr">
        <is>
          <t>Modified financial assets</t>
        </is>
      </c>
      <c r="C15" s="22" t="inlineStr">
        <is>
          <t>(a) For assets modified in the period while the loss allowance was lifetime ECL: the amortised cost before the modification and the net modification gain or loss; (b) the gross carrying amount at the reporting date of assets modified since initial recognition while on lifetime ECL whose allowance changed to 12-month ECL in the period.</t>
        </is>
      </c>
      <c r="D15" s="23" t="inlineStr">
        <is>
          <t>Done</t>
        </is>
      </c>
      <c r="E15" s="22" t="inlineStr">
        <is>
          <t>The IFRS 9 note's section (h) gives 35J(a) (count, amortised cost before, net gain or loss), 35J(b) (count and gross carrying amount at the closing month, for loans on lifetime ECL in the period after the modification and on 12-month ECL at its end) and, beside them, the IFRS 9 5.4.3 gain or loss on every modification and the B5.4.6 catch-up, for the period from the day after the opening month-end to the closing month-end, in the note's portfolio scope, from the modifications the revenue run applied (RestructureRegisterService::ifrs7Disclosures). With none it says so; a confirmed modification the revenue run has not applied, or stopped, fails the note's check, so the note is not issued with the disclosure incomplete; the candidates awaiting confirmation are counted, never disclosed. On the scratch clone maiic_ifrs9_wire of 14 October 2026 (a copy of the restructure build's database, migrated): nothing confirmed, 70 candidates awaiting, so the section reads nil with that count.</t>
        </is>
      </c>
      <c r="F15" s="22" t="inlineStr">
        <is>
          <t>New on 14 October 2026.</t>
        </is>
      </c>
      <c r="G15" s="22" t="inlineStr">
        <is>
          <t>Compliant: the figures follow once MAIIC confirms a modification.</t>
        </is>
      </c>
      <c r="H15" s="22" t="inlineStr">
        <is>
          <t>Reports: IFRS 9 note (FS disclosure) /ifrs9-reports/fs-disclosure (h)</t>
        </is>
      </c>
      <c r="I15" s="22" t="inlineStr"/>
      <c r="J15" s="22" t="inlineStr">
        <is>
          <t>modification_threshold</t>
        </is>
      </c>
      <c r="K15" s="22" t="inlineStr">
        <is>
          <t>Tests\Feature\Reports\ModifiedAssetsDisclosureTest::test_the_note_discloses_35j_and_20a_from_the_applied_modifications_and_counts_the_candidates; Tests\Feature\Reports\ModifiedAssetsDisclosureTest::test_35jb_needs_the_allowance_to_change_to_12_month_ecl_during_the_period; Tests\Feature\Reports\ModifiedAssetsDisclosureTest::test_a_confirmed_modification_not_applied_by_the_revenue_run_stops_the_note</t>
        </is>
      </c>
    </row>
    <row r="16">
      <c r="A16" s="22" t="inlineStr">
        <is>
          <t>7.35K</t>
        </is>
      </c>
      <c r="B16" s="22" t="inlineStr">
        <is>
          <t>Collateral and other credit enhancements</t>
        </is>
      </c>
      <c r="C16" s="22" t="inlineStr">
        <is>
          <t>Disclose the effect of collateral on the amount of the loss allowance and the nature of the collateral held.</t>
        </is>
      </c>
      <c r="D16" s="23" t="inlineStr">
        <is>
          <t>Partially done</t>
        </is>
      </c>
      <c r="E16" s="22" t="inlineStr">
        <is>
          <t>The E-Banker security register (P2_11, 185 rows) is landed and the collateral screens exist with a checked import; on the fresh bootstrap collateral_registers and collateral_allocations are empty, and the LGD engine reads no collateral, so its effect on the allowance cannot be shown.</t>
        </is>
      </c>
      <c r="F16" s="22" t="inlineStr">
        <is>
          <t>Until 14 October 2026 this row was Evidence needed; the LGD link is also Dupleix's.</t>
        </is>
      </c>
      <c r="G16" s="22" t="inlineStr">
        <is>
          <t>Partially done: Credit supplies the security and valuations; Dupleix links collateral to the LGD.</t>
        </is>
      </c>
      <c r="H16" s="22" t="inlineStr">
        <is>
          <t>Collateral Management, Collateral Register: /collateral/register; Reports: LGD and collateral /ifrs9-reports/lgd-collateral</t>
        </is>
      </c>
      <c r="I16" s="22" t="inlineStr"/>
      <c r="J16" s="22" t="inlineStr"/>
      <c r="K16" s="22" t="inlineStr">
        <is>
          <t>Tests\Feature\Imports\ImportValidationTest::test_a_collateral_file_with_bad_values_lists_each_problem_by_row</t>
        </is>
      </c>
    </row>
    <row r="17">
      <c r="A17" s="22" t="inlineStr">
        <is>
          <t>7.35L</t>
        </is>
      </c>
      <c r="B17" s="22" t="inlineStr">
        <is>
          <t>Written-off assets still subject to enforcement</t>
        </is>
      </c>
      <c r="C17" s="22" t="inlineStr">
        <is>
          <t>Disclose the contractual amount outstanding on assets written off in the period that are still subject to enforcement activity.</t>
        </is>
      </c>
      <c r="D17" s="23" t="inlineStr">
        <is>
          <t>Partially done</t>
        </is>
      </c>
      <c r="E17" s="22" t="inlineStr">
        <is>
          <t>Ledger write-offs are classified (22 of 60,778,466.86 on the fresh bootstrap) and the register records any other; the IFRS 9 note lists the write-offs of the period contract by contract and, since 14 October 2026, states the 7.35L amount as not recorded, because neither E-Banker nor the register holds an enforcement status, rather than showing nil.</t>
        </is>
      </c>
      <c r="F17" s="22" t="inlineStr">
        <is>
          <t>Fresh bootstrap maiic_ifrs9_results2 (13 October 2026, before commit 216aee2). Until 14 October 2026 this row said no write-off had been posted since the take-on, and the note was silent on 7.35L.</t>
        </is>
      </c>
      <c r="G17" s="22" t="inlineStr">
        <is>
          <t>Partially done: Finance states which written-off accounts are under enforcement; Dupleix adds the field and the amount.</t>
        </is>
      </c>
      <c r="H17" s="22" t="inlineStr">
        <is>
          <t>EIR Data, Write-offs: /eir-write-offs; Reports: IFRS 9 note (FS disclosure) /ifrs9-reports/fs-disclosure (g)</t>
        </is>
      </c>
      <c r="I17" s="22" t="inlineStr"/>
      <c r="J17" s="22" t="inlineStr"/>
      <c r="K17" s="22" t="inlineStr">
        <is>
          <t>Tests\Feature\Reports\BookedAllowanceAndWriteOffsTest::test_the_write_offs_come_from_the_ledger_rule_and_the_approved_register_only</t>
        </is>
      </c>
    </row>
    <row r="18">
      <c r="A18" s="22" t="inlineStr">
        <is>
          <t>7.35M</t>
        </is>
      </c>
      <c r="B18" s="22" t="inlineStr">
        <is>
          <t>Credit risk exposure by credit-risk rating grade and stage</t>
        </is>
      </c>
      <c r="C18" s="22" t="inlineStr">
        <is>
          <t>Disclose the gross carrying amount by credit risk rating grade, separately for 12-month and lifetime ECL (Stage 1, 2, 3).</t>
        </is>
      </c>
      <c r="D18" s="23" t="inlineStr">
        <is>
          <t>Done</t>
        </is>
      </c>
      <c r="E18" s="22" t="inlineStr">
        <is>
          <t>The IFRS 9 note and the RBM Classification report present the book by stage and by RBM class (days past due by term). The internal grades are not populated (internal_grade_code is null on every main-book loan on the fresh bootstrap; 0 internal grade profiles), so the grade used is the days-past-due class, which IFRS 7 B8I allows where past-due information is the basis of the SICR assessment.</t>
        </is>
      </c>
      <c r="F18" s="22" t="inlineStr">
        <is>
          <t>Fresh bootstrap maiic_ifrs9_results2 (13 October 2026, before commit 216aee2).</t>
        </is>
      </c>
      <c r="G18" s="22" t="inlineStr">
        <is>
          <t>Compliant on the days-past-due basis.</t>
        </is>
      </c>
      <c r="H18" s="22" t="inlineStr">
        <is>
          <t>Reports: IFRS 9 note (FS disclosure) /ifrs9-reports/fs-disclosure; RBM Classification /ifrs9-reports/rbm-classification; Stage Allocation /ifrs9-reports/stage-allocation</t>
        </is>
      </c>
      <c r="I18" s="22" t="inlineStr"/>
      <c r="J18" s="22" t="inlineStr">
        <is>
          <t>dpd_basis</t>
        </is>
      </c>
      <c r="K18" s="22" t="inlineStr">
        <is>
          <t>Tests\Feature\Eir\StagingServiceTest::test_the_directive_thresholds_by_tenor_class_and_the_bucket_fallback; Tests\Feature\Rbm\RbmReturnServiceTest::test_the_rbm_classification_report_agrees_with_the_return_on_every_loan</t>
        </is>
      </c>
    </row>
    <row r="19">
      <c r="A19" s="15" t="inlineStr">
        <is>
          <t>IFRS 7 CONCENTRATIONS</t>
        </is>
      </c>
    </row>
    <row r="20">
      <c r="A20" s="22" t="inlineStr">
        <is>
          <t>7.34(c)</t>
        </is>
      </c>
      <c r="B20" s="22" t="inlineStr">
        <is>
          <t>Concentrations of risk</t>
        </is>
      </c>
      <c r="C20" s="22" t="inlineStr">
        <is>
          <t>Disclose concentrations of risk if not otherwise apparent.</t>
        </is>
      </c>
      <c r="D20" s="23" t="inlineStr">
        <is>
          <t>Done</t>
        </is>
      </c>
      <c r="E20" s="22" t="inlineStr">
        <is>
          <t>The Concentration and large exposures report gives single-name and portfolio concentration (HHI) by sector, product and borrower; the sector and product-group ECL reports render.</t>
        </is>
      </c>
      <c r="F20" s="22" t="inlineStr">
        <is>
          <t>Until 14 October 2026 this row was referenced 7.35N (the provision-matrix paragraph) and cited an unrelated test.</t>
        </is>
      </c>
      <c r="G20" s="22" t="inlineStr">
        <is>
          <t>Compliant.</t>
        </is>
      </c>
      <c r="H20" s="22" t="inlineStr">
        <is>
          <t>Reports: Concentration and large exposures /ifrs9-reports/concentration; Sector ECL /ifrs9-reports/sector-ecl</t>
        </is>
      </c>
      <c r="I20" s="22" t="inlineStr"/>
      <c r="J20" s="22" t="inlineStr"/>
      <c r="K20" s="22" t="inlineStr">
        <is>
          <t>ifrs9:smoke-reports (renders every hub report; no PHPUnit test of this report)</t>
        </is>
      </c>
    </row>
    <row r="21">
      <c r="A21" s="15" t="inlineStr">
        <is>
          <t>THE PACK</t>
        </is>
      </c>
    </row>
    <row r="22">
      <c r="A22" s="22" t="inlineStr">
        <is>
          <t>12.5</t>
        </is>
      </c>
      <c r="B22" s="22" t="inlineStr">
        <is>
          <t>The auditor's pack</t>
        </is>
      </c>
      <c r="C22" s="22" t="inlineStr">
        <is>
          <t>The disclosures and the figures behind them handed to the auditor as one archive with a manifest.</t>
        </is>
      </c>
      <c r="D22" s="23" t="inlineStr">
        <is>
          <t>Done</t>
        </is>
      </c>
      <c r="E22" s="22" t="inlineStr">
        <is>
          <t>compliance:audits --pack={period} bundles the workbooks, the EIR as at the period end, the baselines and the ECL by stage with a SHA-256 per file in manifest.json; the Auditor Pack screen lists the packs with their manifest counts and hands one out.</t>
        </is>
      </c>
      <c r="F22" s="22" t="inlineStr">
        <is>
          <t>Until 14 October 2026 the test cited was unrelated.</t>
        </is>
      </c>
      <c r="G22" s="22" t="inlineStr">
        <is>
          <t>Compliant.</t>
        </is>
      </c>
      <c r="H22" s="22" t="inlineStr">
        <is>
          <t>Governance, Audit: Auditor Pack /auditor-pack; compliance:audits --pack</t>
        </is>
      </c>
      <c r="I22" s="22" t="inlineStr"/>
      <c r="J22" s="22" t="inlineStr"/>
      <c r="K22" s="22" t="inlineStr">
        <is>
          <t>Tests\Feature\AuditFindingM16ScreensTest::test_the_auditor_pack_screen_lists_the_packs_with_their_manifest_counts_and_hands_one_out</t>
        </is>
      </c>
    </row>
  </sheetData>
  <autoFilter ref="A4:K22"/>
  <mergeCells count="6">
    <mergeCell ref="A21:K21"/>
    <mergeCell ref="A7:K7"/>
    <mergeCell ref="A2:K2"/>
    <mergeCell ref="A19:K19"/>
    <mergeCell ref="A10:K10"/>
    <mergeCell ref="A5:K5"/>
  </mergeCells>
  <conditionalFormatting sqref="D5:D22">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2">
    <cfRule type="expression" priority="6" dxfId="2">
      <formula>AND($D5="Done",$K5="")</formula>
    </cfRule>
  </conditionalFormatting>
  <dataValidations count="1">
    <dataValidation sqref="D5:D22"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8"/>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4" t="inlineStr">
        <is>
          <t>7.35K</t>
        </is>
      </c>
      <c r="C5" s="22" t="inlineStr">
        <is>
          <t>Collateral for the active accounts and the LGD link</t>
        </is>
      </c>
      <c r="D5" s="22" t="inlineStr">
        <is>
          <t>The collateral register is empty on the fresh bootstrap and the LGD reads no collateral (the request to Credit of 7 October covered 31 active accounts with no security).</t>
        </is>
      </c>
      <c r="E5" s="22" t="inlineStr">
        <is>
          <t>The collateral disclosure and the LGD rest on nothing yet.</t>
        </is>
      </c>
      <c r="F5" s="22" t="inlineStr">
        <is>
          <t>Credit supplies the security and valuations; Dupleix adds collateral to the LGD.</t>
        </is>
      </c>
      <c r="G5" s="22" t="inlineStr">
        <is>
          <t>Credit / Dupleix</t>
        </is>
      </c>
      <c r="H5" s="22" t="inlineStr">
        <is>
          <t>Open</t>
        </is>
      </c>
    </row>
    <row r="6">
      <c r="A6" s="22" t="inlineStr">
        <is>
          <t>F2</t>
        </is>
      </c>
      <c r="B6" s="24" t="inlineStr">
        <is>
          <t>7.35F, 7.35L</t>
        </is>
      </c>
      <c r="C6" s="22" t="inlineStr">
        <is>
          <t>No write-off policy in the system</t>
        </is>
      </c>
      <c r="D6" s="22" t="inlineStr">
        <is>
          <t>The write-off classifier and register exist (220a5a6), but MAIIC's policy and the enforcement status of written-off accounts are not held.</t>
        </is>
      </c>
      <c r="E6" s="22" t="inlineStr">
        <is>
          <t>The practices disclosure and 7.35L are incomplete.</t>
        </is>
      </c>
      <c r="F6" s="22" t="inlineStr">
        <is>
          <t>Finance supplies the policy and the enforcement list; the help centre carries the policy.</t>
        </is>
      </c>
      <c r="G6" s="22" t="inlineStr">
        <is>
          <t>Finance</t>
        </is>
      </c>
      <c r="H6" s="22" t="inlineStr">
        <is>
          <t>Open</t>
        </is>
      </c>
    </row>
    <row r="7">
      <c r="A7" s="22" t="inlineStr">
        <is>
          <t>F3</t>
        </is>
      </c>
      <c r="B7" s="24" t="inlineStr">
        <is>
          <t>7.35H, 7.35I</t>
        </is>
      </c>
      <c r="C7" s="22" t="inlineStr">
        <is>
          <t>Write-offs are nil in the note and the reconciliations</t>
        </is>
      </c>
      <c r="D7" s="22" t="inlineStr">
        <is>
          <t>Ifrs9NoteService marks no loan written off; EclReconciliationService hard-codes 0; LoanBookReconciliationService filters a status text that never occurs. 22 ledger write-offs of 60,778,466.86 are classified on the fresh bootstrap. Status 14 October 2026: done; all three (and the hub's bridge and charge) read WriteOffSource.</t>
        </is>
      </c>
      <c r="E7" s="22" t="inlineStr">
        <is>
          <t>None remaining.</t>
        </is>
      </c>
      <c r="F7" s="22" t="inlineStr">
        <is>
          <t>Done.</t>
        </is>
      </c>
      <c r="G7" s="22" t="inlineStr">
        <is>
          <t>Dupleix</t>
        </is>
      </c>
      <c r="H7" s="22" t="inlineStr">
        <is>
          <t>Closed</t>
        </is>
      </c>
    </row>
    <row r="8">
      <c r="A8" s="22" t="inlineStr">
        <is>
          <t>F4</t>
        </is>
      </c>
      <c r="B8" s="24" t="inlineStr">
        <is>
          <t>IAS 1.82(a), 7.20(b)</t>
        </is>
      </c>
      <c r="C8" s="22" t="inlineStr">
        <is>
          <t>EIR interest covers the locked loans only</t>
        </is>
      </c>
      <c r="D8" s="22" t="inlineStr">
        <is>
          <t>14 of 144 contracts carry a locked EIR on the fresh bootstrap; the 2024 and 2025 revenue shift for the book (P9) is not computed.</t>
        </is>
      </c>
      <c r="E8" s="22" t="inlineStr">
        <is>
          <t>The EIR interest line is not yet the book's.</t>
        </is>
      </c>
      <c r="F8" s="22" t="inlineStr">
        <is>
          <t>Lock the remaining EIRs after the fee reviews; run P9.</t>
        </is>
      </c>
      <c r="G8" s="22" t="inlineStr">
        <is>
          <t>MAIIC reviewers / Dupleix</t>
        </is>
      </c>
      <c r="H8" s="22" t="inlineStr">
        <is>
          <t>Open</t>
        </is>
      </c>
    </row>
  </sheetData>
  <dataValidations count="1">
    <dataValidation sqref="H5:H8" showDropDown="0" showInputMessage="0" showErrorMessage="0" allowBlank="1" type="list">
      <formula1>"Open,In progress,Closed,Deferred"</formula1>
    </dataValidation>
  </dataValidations>
  <hyperlinks>
    <hyperlink ref="A2" location="'Contents'!A1" display="Back to Contents"/>
    <hyperlink ref="B5" location="'Audit'!A16" display="7.35K"/>
    <hyperlink ref="B6" location="'Audit'!A11" display="7.35F, 7.35L"/>
    <hyperlink ref="B7" location="'Audit'!A13" display="7.35H, 7.35I"/>
    <hyperlink ref="B8" location="'Audit'!A6" display="IAS 1.82(a), 7.20(b)"/>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68"/>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2026-10-14 10:44:12 from maiic_ifrs9_wire.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in-scope loan GLs (over 2 cents)</t>
        </is>
      </c>
      <c r="B6" s="22" t="inlineStr">
        <is>
          <t>0 differences</t>
        </is>
      </c>
      <c r="C6" s="22" t="inlineStr">
        <is>
          <t>0 of 2495 account-months</t>
        </is>
      </c>
      <c r="D6" s="22" t="n">
        <v>0.01</v>
      </c>
      <c r="E6" s="26">
        <f>IF(B6=C6,"PASS","FAIL")</f>
        <v/>
      </c>
      <c r="F6" s="22" t="inlineStr"/>
    </row>
    <row r="7">
      <c r="A7" s="22" t="inlineStr">
        <is>
          <t>Mega Farm: account-months whose MF_03 ledger differs from the Loan Book Report (reported, not a test)</t>
        </is>
      </c>
      <c r="B7" s="22" t="inlineStr">
        <is>
          <t>reported</t>
        </is>
      </c>
      <c r="C7" s="22" t="inlineStr">
        <is>
          <t>77540 account-months</t>
        </is>
      </c>
      <c r="D7" s="22" t="n">
        <v>0.01</v>
      </c>
      <c r="E7" s="26">
        <f>IF(B7=C7,"PASS","FAIL")</f>
        <v/>
      </c>
      <c r="F7" s="22" t="inlineStr"/>
    </row>
    <row r="8">
      <c r="A8" s="22" t="inlineStr">
        <is>
          <t>Year-end interest batch contra on 4215</t>
        </is>
      </c>
      <c r="B8" s="25" t="n">
        <v>32956675.55</v>
      </c>
      <c r="C8" s="25" t="n">
        <v>32956675.55</v>
      </c>
      <c r="D8" s="22" t="n">
        <v>1</v>
      </c>
      <c r="E8" s="26">
        <f>IF(ABS(B8-C8)&lt;=D8,"PASS","FAIL")</f>
        <v/>
      </c>
      <c r="F8" s="22" t="inlineStr"/>
    </row>
    <row r="9">
      <c r="A9" s="22" t="inlineStr">
        <is>
          <t>Year-end interest batch contra on 4216</t>
        </is>
      </c>
      <c r="B9" s="25" t="n">
        <v>-21733262.7</v>
      </c>
      <c r="C9" s="25" t="n">
        <v>-21733262.7</v>
      </c>
      <c r="D9" s="22" t="n">
        <v>0.01</v>
      </c>
      <c r="E9" s="26">
        <f>IF(ABS(B9-C9)&lt;=D9,"PASS","FAIL")</f>
        <v/>
      </c>
      <c r="F9" s="22" t="inlineStr"/>
    </row>
    <row r="10">
      <c r="A10" s="22" t="inlineStr">
        <is>
          <t>Loan book 1050101 at 31 Dec 2025 against the trial balance</t>
        </is>
      </c>
      <c r="B10" s="25" t="n">
        <v>1368737810.68</v>
      </c>
      <c r="C10" s="25" t="n">
        <v>1368737810.68</v>
      </c>
      <c r="D10" s="22" t="n">
        <v>1</v>
      </c>
      <c r="E10" s="26">
        <f>IF(ABS(B10-C10)&lt;=D10,"PASS","FAIL")</f>
        <v/>
      </c>
      <c r="F10" s="22" t="inlineStr"/>
    </row>
    <row r="11">
      <c r="A11" s="22" t="inlineStr">
        <is>
          <t>Loan book 1050102 at 31 Dec 2025 against the trial balance</t>
        </is>
      </c>
      <c r="B11" s="25" t="n">
        <v>6434045052.56</v>
      </c>
      <c r="C11" s="25" t="n">
        <v>6434045052.56</v>
      </c>
      <c r="D11" s="22" t="n">
        <v>1</v>
      </c>
      <c r="E11" s="26">
        <f>IF(ABS(B11-C11)&lt;=D11,"PASS","FAIL")</f>
        <v/>
      </c>
      <c r="F11" s="22" t="inlineStr"/>
    </row>
    <row r="12">
      <c r="A12" s="22" t="inlineStr">
        <is>
          <t>Loan book 1050201 at 31 Dec 2025 against the trial balance (accepted exception, spec 3.5: -400,000.00)</t>
        </is>
      </c>
      <c r="B12" s="25" t="n">
        <v>1402393139.46</v>
      </c>
      <c r="C12" s="25" t="n">
        <v>1401993139.46</v>
      </c>
      <c r="D12" s="22" t="n">
        <v>1</v>
      </c>
      <c r="E12" s="26">
        <f>IF(ABS(B12-C12)&lt;=D12,"PASS","FAIL")</f>
        <v/>
      </c>
      <c r="F12" s="22" t="inlineStr"/>
    </row>
    <row r="13">
      <c r="A13" s="22" t="inlineStr">
        <is>
          <t>Loan book 1050202 at 31 Dec 2025 against the trial balance (accepted exception, spec 3.5: 1,000,000.00)</t>
        </is>
      </c>
      <c r="B13" s="25" t="n">
        <v>3808288656.15</v>
      </c>
      <c r="C13" s="25" t="n">
        <v>3809288656.15</v>
      </c>
      <c r="D13" s="22" t="n">
        <v>1</v>
      </c>
      <c r="E13" s="26">
        <f>IF(ABS(B13-C13)&lt;=D13,"PASS","FAIL")</f>
        <v/>
      </c>
      <c r="F13" s="22" t="inlineStr"/>
    </row>
    <row r="14">
      <c r="A14" s="22" t="inlineStr">
        <is>
          <t>Loan book 1050401 at 31 Dec 2025 against the trial balance</t>
        </is>
      </c>
      <c r="B14" s="25" t="n">
        <v>1827148120.69</v>
      </c>
      <c r="C14" s="25" t="n">
        <v>1827148120.69</v>
      </c>
      <c r="D14" s="22" t="n">
        <v>1</v>
      </c>
      <c r="E14" s="26">
        <f>IF(ABS(B14-C14)&lt;=D14,"PASS","FAIL")</f>
        <v/>
      </c>
      <c r="F14" s="22" t="inlineStr"/>
    </row>
    <row r="15">
      <c r="A15" s="22" t="inlineStr">
        <is>
          <t>Pack inventory: ebanker-pack-2026-10-09: every file as committed and landed with its manifest rows and SHA-256; 13 received files not landed, each with its reason in the manifest</t>
        </is>
      </c>
      <c r="B15" s="22" t="inlineStr">
        <is>
          <t>12 extracts, 111,513 rows</t>
        </is>
      </c>
      <c r="C15" s="22" t="inlineStr">
        <is>
          <t>12 extracts, 111,513 rows</t>
        </is>
      </c>
      <c r="D15" s="22" t="n">
        <v>0.01</v>
      </c>
      <c r="E15" s="26">
        <f>IF(B15=C15,"PASS","FAIL")</f>
        <v/>
      </c>
      <c r="F15" s="22" t="inlineStr"/>
    </row>
    <row r="16">
      <c r="A16" s="22" t="inlineStr">
        <is>
          <t>Pack inventory: ebanker-pack-2026-10-12: every file as committed and landed with its manifest rows and SHA-256; 2 received files not landed, each with its reason in the manifest</t>
        </is>
      </c>
      <c r="B16" s="22" t="inlineStr">
        <is>
          <t>39 extracts, 511,785 rows</t>
        </is>
      </c>
      <c r="C16" s="22" t="inlineStr">
        <is>
          <t>39 extracts, 511,785 rows</t>
        </is>
      </c>
      <c r="D16" s="22" t="n">
        <v>0.01</v>
      </c>
      <c r="E16" s="26">
        <f>IF(B16=C16,"PASS","FAIL")</f>
        <v/>
      </c>
      <c r="F16" s="22" t="inlineStr"/>
    </row>
    <row r="17">
      <c r="A17" s="22" t="inlineStr">
        <is>
          <t>Pack inventory: ebanker-pack-2026-10-12-p5: every file as committed and landed with its manifest rows and SHA-256; 1 received files not landed, each with its reason in the manifest</t>
        </is>
      </c>
      <c r="B17" s="22" t="inlineStr">
        <is>
          <t>8 extracts, 470 rows</t>
        </is>
      </c>
      <c r="C17" s="22" t="inlineStr">
        <is>
          <t>8 extracts, 470 rows</t>
        </is>
      </c>
      <c r="D17" s="22" t="n">
        <v>0.01</v>
      </c>
      <c r="E17" s="26">
        <f>IF(B17=C17,"PASS","FAIL")</f>
        <v/>
      </c>
      <c r="F17" s="22" t="inlineStr"/>
    </row>
    <row r="18">
      <c r="A18" s="22" t="inlineStr">
        <is>
          <t>Pack inventory: ebanker-pack-2026-10-12-p6: every file as committed and landed with its manifest rows and SHA-256; 0 received files not landed, each with its reason in the manifest</t>
        </is>
      </c>
      <c r="B18" s="22" t="inlineStr">
        <is>
          <t>3 extracts, 236 rows</t>
        </is>
      </c>
      <c r="C18" s="22" t="inlineStr">
        <is>
          <t>3 extracts, 236 rows</t>
        </is>
      </c>
      <c r="D18" s="22" t="n">
        <v>0.01</v>
      </c>
      <c r="E18" s="26">
        <f>IF(B18=C18,"PASS","FAIL")</f>
        <v/>
      </c>
      <c r="F18" s="22" t="inlineStr"/>
    </row>
    <row r="19">
      <c r="A19" s="22" t="inlineStr">
        <is>
          <t>Pack inventory: ebanker-pack-2026-10-13-p7: every file as committed and landed with its manifest rows and SHA-256; 0 received files not landed, each with its reason in the manifest</t>
        </is>
      </c>
      <c r="B19" s="22" t="inlineStr">
        <is>
          <t>6 extracts, 32,244 rows</t>
        </is>
      </c>
      <c r="C19" s="22" t="inlineStr">
        <is>
          <t>6 extracts, 32,244 rows</t>
        </is>
      </c>
      <c r="D19" s="22" t="n">
        <v>0.01</v>
      </c>
      <c r="E19" s="26">
        <f>IF(B19=C19,"PASS","FAIL")</f>
        <v/>
      </c>
      <c r="F19" s="22" t="inlineStr"/>
    </row>
    <row r="20">
      <c r="A20" s="22" t="inlineStr">
        <is>
          <t>Pack inventory: ebanker-pack-2026-10-13-p8: every file as committed and landed with its manifest rows and SHA-256; 6 received files not landed, each with its reason in the manifest</t>
        </is>
      </c>
      <c r="B20" s="22" t="inlineStr">
        <is>
          <t>4 extracts, 103 rows</t>
        </is>
      </c>
      <c r="C20" s="22" t="inlineStr">
        <is>
          <t>4 extracts, 103 rows</t>
        </is>
      </c>
      <c r="D20" s="22" t="n">
        <v>0.01</v>
      </c>
      <c r="E20" s="26">
        <f>IF(B20=C20,"PASS","FAIL")</f>
        <v/>
      </c>
      <c r="F20" s="22" t="inlineStr"/>
    </row>
    <row r="21">
      <c r="A21" s="22" t="inlineStr">
        <is>
          <t>Pack inventory: ebanker-pack-2026-10-14: every file as committed and landed with its manifest rows and SHA-256; 13 received files not landed, each with its reason in the manifest</t>
        </is>
      </c>
      <c r="B21" s="22" t="inlineStr">
        <is>
          <t>2 extracts, 426 rows</t>
        </is>
      </c>
      <c r="C21" s="22" t="inlineStr">
        <is>
          <t>2 extracts, 426 rows</t>
        </is>
      </c>
      <c r="D21" s="22" t="n">
        <v>0.01</v>
      </c>
      <c r="E21" s="26">
        <f>IF(B21=C21,"PASS","FAIL")</f>
        <v/>
      </c>
      <c r="F21" s="22" t="inlineStr"/>
    </row>
    <row r="22">
      <c r="A22" s="22" t="inlineStr">
        <is>
          <t>Pack inventory: manifest.json (packs 1 and 2, data dictionary, trial balances, take-on): every file as committed and landed with its manifest rows and SHA-256; 3 received files not landed, each with its reason in the manifest; 30 workbooks and scripts, 23 landed by the bootstrap</t>
        </is>
      </c>
      <c r="B22" s="22" t="inlineStr">
        <is>
          <t>54 extracts, 85,174 rows, 23 workbooks</t>
        </is>
      </c>
      <c r="C22" s="22" t="inlineStr">
        <is>
          <t>54 extracts, 85,174 rows, 23 workbooks</t>
        </is>
      </c>
      <c r="D22" s="22" t="n">
        <v>0.01</v>
      </c>
      <c r="E22" s="26">
        <f>IF(B22=C22,"PASS","FAIL")</f>
        <v/>
      </c>
      <c r="F22" s="22" t="inlineStr"/>
    </row>
    <row r="23">
      <c r="A23" s="22" t="inlineStr">
        <is>
          <t>Take-on worksheet (CV_10) against the take-on postings of 31 Jul 2024: term loans on the worksheet with take-on postings</t>
        </is>
      </c>
      <c r="B23" s="25" t="n">
        <v>77</v>
      </c>
      <c r="C23" s="25" t="n">
        <v>77</v>
      </c>
      <c r="D23" s="22" t="n">
        <v>0.01</v>
      </c>
      <c r="E23" s="26">
        <f>IF(ABS(B23-C23)&lt;=D23,"PASS","FAIL")</f>
        <v/>
      </c>
      <c r="F23" s="22" t="inlineStr"/>
    </row>
    <row r="24">
      <c r="A24" s="22" t="inlineStr">
        <is>
          <t>Take-on worksheet (CV_10) against the take-on postings of 31 Jul 2024: loans whose principal taken on (301) = NEWDISBURS_AMT, to the cent</t>
        </is>
      </c>
      <c r="B24" s="25" t="n">
        <v>76</v>
      </c>
      <c r="C24" s="25" t="n">
        <v>76</v>
      </c>
      <c r="D24" s="22" t="n">
        <v>0.01</v>
      </c>
      <c r="E24" s="26">
        <f>IF(ABS(B24-C24)&lt;=D24,"PASS","FAIL")</f>
        <v/>
      </c>
      <c r="F24" s="22" t="inlineStr"/>
    </row>
    <row r="25">
      <c r="A25" s="22" t="inlineStr">
        <is>
          <t>Take-on worksheet (CV_10) against the take-on postings of 31 Jul 2024: loans whose opening interest (303) = TOTAL_INT_CHARG, to the cent</t>
        </is>
      </c>
      <c r="B25" s="25" t="n">
        <v>76</v>
      </c>
      <c r="C25" s="25" t="n">
        <v>76</v>
      </c>
      <c r="D25" s="22" t="n">
        <v>0.01</v>
      </c>
      <c r="E25" s="26">
        <f>IF(ABS(B25-C25)&lt;=D25,"PASS","FAIL")</f>
        <v/>
      </c>
      <c r="F25" s="22" t="inlineStr"/>
    </row>
    <row r="26">
      <c r="A26" s="22" t="inlineStr">
        <is>
          <t>Take-on worksheet (CV_10) against the take-on postings of 31 Jul 2024: loans whose opening recoveries (305) = TOTA_REPAY_UPTO, to the cent</t>
        </is>
      </c>
      <c r="B26" s="25" t="n">
        <v>72</v>
      </c>
      <c r="C26" s="25" t="n">
        <v>72</v>
      </c>
      <c r="D26" s="22" t="n">
        <v>0.01</v>
      </c>
      <c r="E26" s="26">
        <f>IF(ABS(B26-C26)&lt;=D26,"PASS","FAIL")</f>
        <v/>
      </c>
      <c r="F26" s="22" t="inlineStr"/>
    </row>
    <row r="27">
      <c r="A27" s="22" t="inlineStr">
        <is>
          <t>Ledger copy CUMVOUCH_BK240824 (CV_04a) to 31 Dec 2023 against the GL opening balances of 1 Jan 2024 (CV_14), 4 loan GLs: sum of the differences</t>
        </is>
      </c>
      <c r="B27" s="25" t="n">
        <v>0.5</v>
      </c>
      <c r="C27" s="25" t="n">
        <v>0.5</v>
      </c>
      <c r="D27" s="22" t="n">
        <v>0.01</v>
      </c>
      <c r="E27" s="26">
        <f>IF(ABS(B27-C27)&lt;=D27,"PASS","FAIL")</f>
        <v/>
      </c>
      <c r="F27" s="22" t="inlineStr"/>
    </row>
    <row r="28">
      <c r="A28" s="22" t="inlineStr">
        <is>
          <t>Loan book 2025-12, MAIIC's loan GLs: carrying amount</t>
        </is>
      </c>
      <c r="B28" s="22" t="inlineStr">
        <is>
          <t>no golden value committed (book_2025-12_maiic_amount)</t>
        </is>
      </c>
      <c r="C28" s="25" t="n">
        <v>14841212779.54</v>
      </c>
      <c r="D28" s="22" t="n">
        <v>0.01</v>
      </c>
      <c r="E28" s="26">
        <f>IF(B28=C28,"PASS","FAIL")</f>
        <v/>
      </c>
      <c r="F28" s="22" t="inlineStr">
        <is>
          <t>the bootstrap's verify reports this row</t>
        </is>
      </c>
    </row>
    <row r="29">
      <c r="A29" s="22" t="inlineStr">
        <is>
          <t>Loan book 2025-12, MAIIC's loan GLs: rows</t>
        </is>
      </c>
      <c r="B29" s="22" t="inlineStr">
        <is>
          <t>no golden value committed (book_2025-12_maiic_loans)</t>
        </is>
      </c>
      <c r="C29" s="25" t="n">
        <v>123</v>
      </c>
      <c r="D29" s="22" t="n">
        <v>0.01</v>
      </c>
      <c r="E29" s="26">
        <f>IF(B29=C29,"PASS","FAIL")</f>
        <v/>
      </c>
      <c r="F29" s="22" t="inlineStr">
        <is>
          <t>the bootstrap's verify reports this row</t>
        </is>
      </c>
    </row>
    <row r="30">
      <c r="A30" s="22" t="inlineStr">
        <is>
          <t>Loan book 2025-12, Mega Farm programme GLs: carrying amount</t>
        </is>
      </c>
      <c r="B30" s="22" t="inlineStr">
        <is>
          <t>no golden value committed (book_2025-12_megafarm_amount)</t>
        </is>
      </c>
      <c r="C30" s="25" t="n">
        <v>54498560819.6</v>
      </c>
      <c r="D30" s="22" t="n">
        <v>0.01</v>
      </c>
      <c r="E30" s="26">
        <f>IF(B30=C30,"PASS","FAIL")</f>
        <v/>
      </c>
      <c r="F30" s="22" t="inlineStr">
        <is>
          <t>the bootstrap's verify reports this row</t>
        </is>
      </c>
    </row>
    <row r="31">
      <c r="A31" s="22" t="inlineStr">
        <is>
          <t>Loan book 2025-12, Mega Farm programme GLs: accounts with a balance</t>
        </is>
      </c>
      <c r="B31" s="22" t="inlineStr">
        <is>
          <t>no golden value committed (book_2025-12_megafarm_accounts)</t>
        </is>
      </c>
      <c r="C31" s="25" t="n">
        <v>3671</v>
      </c>
      <c r="D31" s="22" t="n">
        <v>0.01</v>
      </c>
      <c r="E31" s="26">
        <f>IF(B31=C31,"PASS","FAIL")</f>
        <v/>
      </c>
      <c r="F31" s="22" t="inlineStr">
        <is>
          <t>the bootstrap's verify reports this row</t>
        </is>
      </c>
    </row>
    <row r="32">
      <c r="A32" s="22" t="inlineStr">
        <is>
          <t>Loan book 2026-09, MAIIC's loan GLs: carrying amount</t>
        </is>
      </c>
      <c r="B32" s="22" t="inlineStr">
        <is>
          <t>no golden value committed (book_2026-09_maiic_amount)</t>
        </is>
      </c>
      <c r="C32" s="25" t="n">
        <v>23189580235.43</v>
      </c>
      <c r="D32" s="22" t="n">
        <v>0.01</v>
      </c>
      <c r="E32" s="26">
        <f>IF(B32=C32,"PASS","FAIL")</f>
        <v/>
      </c>
      <c r="F32" s="22" t="inlineStr">
        <is>
          <t>the bootstrap's verify reports this row</t>
        </is>
      </c>
    </row>
    <row r="33">
      <c r="A33" s="22" t="inlineStr">
        <is>
          <t>Loan book 2026-09, MAIIC's loan GLs: rows</t>
        </is>
      </c>
      <c r="B33" s="22" t="inlineStr">
        <is>
          <t>no golden value committed (book_2026-09_maiic_loans)</t>
        </is>
      </c>
      <c r="C33" s="25" t="n">
        <v>134</v>
      </c>
      <c r="D33" s="22" t="n">
        <v>0.01</v>
      </c>
      <c r="E33" s="26">
        <f>IF(B33=C33,"PASS","FAIL")</f>
        <v/>
      </c>
      <c r="F33" s="22" t="inlineStr">
        <is>
          <t>the bootstrap's verify reports this row</t>
        </is>
      </c>
    </row>
    <row r="34">
      <c r="A34" s="22" t="inlineStr">
        <is>
          <t>Loan book 2026-09, Mega Farm programme GLs: carrying amount</t>
        </is>
      </c>
      <c r="B34" s="22" t="inlineStr">
        <is>
          <t>no golden value committed (book_2026-09_megafarm_amount)</t>
        </is>
      </c>
      <c r="C34" s="25" t="n">
        <v>56180761113.43</v>
      </c>
      <c r="D34" s="22" t="n">
        <v>0.01</v>
      </c>
      <c r="E34" s="26">
        <f>IF(B34=C34,"PASS","FAIL")</f>
        <v/>
      </c>
      <c r="F34" s="22" t="inlineStr">
        <is>
          <t>the bootstrap's verify reports this row</t>
        </is>
      </c>
    </row>
    <row r="35">
      <c r="A35" s="22" t="inlineStr">
        <is>
          <t>Loan book 2026-09, Mega Farm programme GLs: accounts with a balance</t>
        </is>
      </c>
      <c r="B35" s="22" t="inlineStr">
        <is>
          <t>no golden value committed (book_2026-09_megafarm_accounts)</t>
        </is>
      </c>
      <c r="C35" s="25" t="n">
        <v>3618</v>
      </c>
      <c r="D35" s="22" t="n">
        <v>0.01</v>
      </c>
      <c r="E35" s="26">
        <f>IF(B35=C35,"PASS","FAIL")</f>
        <v/>
      </c>
      <c r="F35" s="22" t="inlineStr">
        <is>
          <t>the bootstrap's verify reports this row</t>
        </is>
      </c>
    </row>
    <row r="36">
      <c r="A36" s="22" t="inlineStr">
        <is>
          <t>Ledger write-offs on MAIIC loans (WriteOffClassifier): postings</t>
        </is>
      </c>
      <c r="B36" s="22" t="inlineStr">
        <is>
          <t>no golden value committed (ledger_writeoffs_postings)</t>
        </is>
      </c>
      <c r="C36" s="25" t="n">
        <v>22</v>
      </c>
      <c r="D36" s="22" t="n">
        <v>0.01</v>
      </c>
      <c r="E36" s="26">
        <f>IF(B36=C36,"PASS","FAIL")</f>
        <v/>
      </c>
      <c r="F36" s="22" t="inlineStr">
        <is>
          <t>the bootstrap's verify reports this row</t>
        </is>
      </c>
    </row>
    <row r="37">
      <c r="A37" s="22" t="inlineStr">
        <is>
          <t>Ledger write-offs on MAIIC loans (WriteOffClassifier): amount</t>
        </is>
      </c>
      <c r="B37" s="22" t="inlineStr">
        <is>
          <t>no golden value committed (ledger_writeoffs_amount)</t>
        </is>
      </c>
      <c r="C37" s="25" t="n">
        <v>60778466.86</v>
      </c>
      <c r="D37" s="22" t="n">
        <v>0.01</v>
      </c>
      <c r="E37" s="26">
        <f>IF(B37=C37,"PASS","FAIL")</f>
        <v/>
      </c>
      <c r="F37" s="22" t="inlineStr">
        <is>
          <t>the bootstrap's verify reports this row</t>
        </is>
      </c>
    </row>
    <row r="38">
      <c r="A38" s="22" t="inlineStr">
        <is>
          <t>ECL 2025-12, MAIIC's book: undiscounted</t>
        </is>
      </c>
      <c r="B38" s="22" t="inlineStr">
        <is>
          <t>no golden value committed (ecl_2025-12_maiic_undiscounted)</t>
        </is>
      </c>
      <c r="C38" s="25" t="n">
        <v>3955543846.37</v>
      </c>
      <c r="D38" s="22" t="n">
        <v>0.01</v>
      </c>
      <c r="E38" s="26">
        <f>IF(B38=C38,"PASS","FAIL")</f>
        <v/>
      </c>
      <c r="F38" s="22" t="inlineStr">
        <is>
          <t>the bootstrap's verify reports this row</t>
        </is>
      </c>
    </row>
    <row r="39">
      <c r="A39" s="22" t="inlineStr">
        <is>
          <t>ECL 2025-12, MAIIC's book: discounted at the EIR (booked)</t>
        </is>
      </c>
      <c r="B39" s="22" t="inlineStr">
        <is>
          <t>no golden value committed (ecl_2025-12_maiic_discounted)</t>
        </is>
      </c>
      <c r="C39" s="25" t="n">
        <v>2593174242.3</v>
      </c>
      <c r="D39" s="22" t="n">
        <v>0.01</v>
      </c>
      <c r="E39" s="26">
        <f>IF(B39=C39,"PASS","FAIL")</f>
        <v/>
      </c>
      <c r="F39" s="22" t="inlineStr">
        <is>
          <t>the bootstrap's verify reports this row</t>
        </is>
      </c>
    </row>
    <row r="40">
      <c r="A40" s="22" t="inlineStr">
        <is>
          <t>ECL 2025-12, MAIIC's book: loans discounted at the EIR</t>
        </is>
      </c>
      <c r="B40" s="22" t="inlineStr">
        <is>
          <t>no golden value committed (ecl_2025-12_maiic_discounted_loans)</t>
        </is>
      </c>
      <c r="C40" s="25" t="n">
        <v>56</v>
      </c>
      <c r="D40" s="22" t="n">
        <v>0.01</v>
      </c>
      <c r="E40" s="26">
        <f>IF(B40=C40,"PASS","FAIL")</f>
        <v/>
      </c>
      <c r="F40" s="22" t="inlineStr">
        <is>
          <t>the bootstrap's verify reports this row</t>
        </is>
      </c>
    </row>
    <row r="41">
      <c r="A41" s="22" t="inlineStr">
        <is>
          <t>ECL 2025-12, MAIIC's book, stage 1: discounted</t>
        </is>
      </c>
      <c r="B41" s="22" t="inlineStr">
        <is>
          <t>no golden value committed (ecl_2025-12_maiic_stage1_discounted)</t>
        </is>
      </c>
      <c r="C41" s="25" t="n">
        <v>61318291.61</v>
      </c>
      <c r="D41" s="22" t="n">
        <v>0.01</v>
      </c>
      <c r="E41" s="26">
        <f>IF(B41=C41,"PASS","FAIL")</f>
        <v/>
      </c>
      <c r="F41" s="22" t="inlineStr">
        <is>
          <t>the bootstrap's verify reports this row</t>
        </is>
      </c>
    </row>
    <row r="42">
      <c r="A42" s="22" t="inlineStr">
        <is>
          <t>ECL 2025-12, MAIIC's book, stage 2: discounted</t>
        </is>
      </c>
      <c r="B42" s="22" t="inlineStr">
        <is>
          <t>no golden value committed (ecl_2025-12_maiic_stage2_discounted)</t>
        </is>
      </c>
      <c r="C42" s="25" t="n">
        <v>315409106.41</v>
      </c>
      <c r="D42" s="22" t="n">
        <v>0.01</v>
      </c>
      <c r="E42" s="26">
        <f>IF(B42=C42,"PASS","FAIL")</f>
        <v/>
      </c>
      <c r="F42" s="22" t="inlineStr">
        <is>
          <t>the bootstrap's verify reports this row</t>
        </is>
      </c>
    </row>
    <row r="43">
      <c r="A43" s="22" t="inlineStr">
        <is>
          <t>ECL 2025-12, MAIIC's book, stage 3: discounted</t>
        </is>
      </c>
      <c r="B43" s="22" t="inlineStr">
        <is>
          <t>no golden value committed (ecl_2025-12_maiic_stage3_discounted)</t>
        </is>
      </c>
      <c r="C43" s="25" t="n">
        <v>2216446844.28</v>
      </c>
      <c r="D43" s="22" t="n">
        <v>0.01</v>
      </c>
      <c r="E43" s="26">
        <f>IF(B43=C43,"PASS","FAIL")</f>
        <v/>
      </c>
      <c r="F43" s="22" t="inlineStr">
        <is>
          <t>the bootstrap's verify reports this row</t>
        </is>
      </c>
    </row>
    <row r="44">
      <c r="A44" s="22" t="inlineStr">
        <is>
          <t>ECL 2025-12, Mega Farm programme (latest run)</t>
        </is>
      </c>
      <c r="B44" s="22" t="inlineStr">
        <is>
          <t>no golden value committed (ecl_2025-12_megafarm_programme)</t>
        </is>
      </c>
      <c r="C44" s="22" t="inlineStr">
        <is>
          <t>none</t>
        </is>
      </c>
      <c r="D44" s="22" t="n">
        <v>0.01</v>
      </c>
      <c r="E44" s="26">
        <f>IF(B44=C44,"PASS","FAIL")</f>
        <v/>
      </c>
      <c r="F44" s="22" t="inlineStr">
        <is>
          <t>the bootstrap's verify reports this row</t>
        </is>
      </c>
    </row>
    <row r="45">
      <c r="A45" s="22" t="inlineStr">
        <is>
          <t>ECL 2025-12, Mega Farm: MAIIC's share</t>
        </is>
      </c>
      <c r="B45" s="22" t="inlineStr">
        <is>
          <t>no golden value committed (ecl_2025-12_megafarm_maiic_share)</t>
        </is>
      </c>
      <c r="C45" s="22" t="inlineStr">
        <is>
          <t>none</t>
        </is>
      </c>
      <c r="D45" s="22" t="n">
        <v>0.01</v>
      </c>
      <c r="E45" s="26">
        <f>IF(B45=C45,"PASS","FAIL")</f>
        <v/>
      </c>
      <c r="F45" s="22" t="inlineStr">
        <is>
          <t>the bootstrap's verify reports this row</t>
        </is>
      </c>
    </row>
    <row r="46">
      <c r="A46" s="22" t="inlineStr">
        <is>
          <t>ECL 2026-09, MAIIC's book: undiscounted</t>
        </is>
      </c>
      <c r="B46" s="22" t="inlineStr">
        <is>
          <t>no golden value committed (ecl_2026-09_maiic_undiscounted)</t>
        </is>
      </c>
      <c r="C46" s="25" t="n">
        <v>11569458915.88</v>
      </c>
      <c r="D46" s="22" t="n">
        <v>0.01</v>
      </c>
      <c r="E46" s="26">
        <f>IF(B46=C46,"PASS","FAIL")</f>
        <v/>
      </c>
      <c r="F46" s="22" t="inlineStr">
        <is>
          <t>the bootstrap's verify reports this row</t>
        </is>
      </c>
    </row>
    <row r="47">
      <c r="A47" s="22" t="inlineStr">
        <is>
          <t>ECL 2026-09, MAIIC's book: discounted at the EIR (booked)</t>
        </is>
      </c>
      <c r="B47" s="22" t="inlineStr">
        <is>
          <t>no golden value committed (ecl_2026-09_maiic_discounted)</t>
        </is>
      </c>
      <c r="C47" s="25" t="n">
        <v>7118643553.12</v>
      </c>
      <c r="D47" s="22" t="n">
        <v>0.01</v>
      </c>
      <c r="E47" s="26">
        <f>IF(B47=C47,"PASS","FAIL")</f>
        <v/>
      </c>
      <c r="F47" s="22" t="inlineStr">
        <is>
          <t>the bootstrap's verify reports this row</t>
        </is>
      </c>
    </row>
    <row r="48">
      <c r="A48" s="22" t="inlineStr">
        <is>
          <t>ECL 2026-09, MAIIC's book: loans discounted at the EIR</t>
        </is>
      </c>
      <c r="B48" s="22" t="inlineStr">
        <is>
          <t>no golden value committed (ecl_2026-09_maiic_discounted_loans)</t>
        </is>
      </c>
      <c r="C48" s="25" t="n">
        <v>62</v>
      </c>
      <c r="D48" s="22" t="n">
        <v>0.01</v>
      </c>
      <c r="E48" s="26">
        <f>IF(B48=C48,"PASS","FAIL")</f>
        <v/>
      </c>
      <c r="F48" s="22" t="inlineStr">
        <is>
          <t>the bootstrap's verify reports this row</t>
        </is>
      </c>
    </row>
    <row r="49">
      <c r="A49" s="22" t="inlineStr">
        <is>
          <t>ECL 2026-09, MAIIC's book, stage 1: discounted</t>
        </is>
      </c>
      <c r="B49" s="22" t="inlineStr">
        <is>
          <t>no golden value committed (ecl_2026-09_maiic_stage1_discounted)</t>
        </is>
      </c>
      <c r="C49" s="25" t="n">
        <v>219546033.9</v>
      </c>
      <c r="D49" s="22" t="n">
        <v>0.01</v>
      </c>
      <c r="E49" s="26">
        <f>IF(B49=C49,"PASS","FAIL")</f>
        <v/>
      </c>
      <c r="F49" s="22" t="inlineStr">
        <is>
          <t>the bootstrap's verify reports this row</t>
        </is>
      </c>
    </row>
    <row r="50">
      <c r="A50" s="22" t="inlineStr">
        <is>
          <t>ECL 2026-09, MAIIC's book, stage 2: discounted</t>
        </is>
      </c>
      <c r="B50" s="22" t="inlineStr">
        <is>
          <t>no golden value committed (ecl_2026-09_maiic_stage2_discounted)</t>
        </is>
      </c>
      <c r="C50" s="25" t="n">
        <v>183786390.69</v>
      </c>
      <c r="D50" s="22" t="n">
        <v>0.01</v>
      </c>
      <c r="E50" s="26">
        <f>IF(B50=C50,"PASS","FAIL")</f>
        <v/>
      </c>
      <c r="F50" s="22" t="inlineStr">
        <is>
          <t>the bootstrap's verify reports this row</t>
        </is>
      </c>
    </row>
    <row r="51">
      <c r="A51" s="22" t="inlineStr">
        <is>
          <t>ECL 2026-09, MAIIC's book, stage 3: discounted</t>
        </is>
      </c>
      <c r="B51" s="22" t="inlineStr">
        <is>
          <t>no golden value committed (ecl_2026-09_maiic_stage3_discounted)</t>
        </is>
      </c>
      <c r="C51" s="25" t="n">
        <v>6715311128.53</v>
      </c>
      <c r="D51" s="22" t="n">
        <v>0.01</v>
      </c>
      <c r="E51" s="26">
        <f>IF(B51=C51,"PASS","FAIL")</f>
        <v/>
      </c>
      <c r="F51" s="22" t="inlineStr">
        <is>
          <t>the bootstrap's verify reports this row</t>
        </is>
      </c>
    </row>
    <row r="52">
      <c r="A52" s="22" t="inlineStr">
        <is>
          <t>ECL 2026-09, Mega Farm programme (latest run)</t>
        </is>
      </c>
      <c r="B52" s="22" t="inlineStr">
        <is>
          <t>no golden value committed (ecl_2026-09_megafarm_programme)</t>
        </is>
      </c>
      <c r="C52" s="25" t="n">
        <v>45782301503.37</v>
      </c>
      <c r="D52" s="22" t="n">
        <v>0.01</v>
      </c>
      <c r="E52" s="26">
        <f>IF(B52=C52,"PASS","FAIL")</f>
        <v/>
      </c>
      <c r="F52" s="22" t="inlineStr">
        <is>
          <t>the bootstrap's verify reports this row</t>
        </is>
      </c>
    </row>
    <row r="53">
      <c r="A53" s="22" t="inlineStr">
        <is>
          <t>ECL 2026-09, Mega Farm: MAIIC's share</t>
        </is>
      </c>
      <c r="B53" s="22" t="inlineStr">
        <is>
          <t>no golden value committed (ecl_2026-09_megafarm_maiic_share)</t>
        </is>
      </c>
      <c r="C53" s="25" t="n">
        <v>2289115075.17</v>
      </c>
      <c r="D53" s="22" t="n">
        <v>0.01</v>
      </c>
      <c r="E53" s="26">
        <f>IF(B53=C53,"PASS","FAIL")</f>
        <v/>
      </c>
      <c r="F53" s="22" t="inlineStr">
        <is>
          <t>the bootstrap's verify reports this row</t>
        </is>
      </c>
    </row>
    <row r="54">
      <c r="A54" s="22" t="inlineStr">
        <is>
          <t>EIR contracts locked</t>
        </is>
      </c>
      <c r="B54" s="22" t="inlineStr">
        <is>
          <t>no golden value committed (eir_contracts_locked)</t>
        </is>
      </c>
      <c r="C54" s="25" t="n">
        <v>14</v>
      </c>
      <c r="D54" s="22" t="n">
        <v>0.01</v>
      </c>
      <c r="E54" s="26">
        <f>IF(B54=C54,"PASS","FAIL")</f>
        <v/>
      </c>
      <c r="F54" s="22" t="inlineStr">
        <is>
          <t>the bootstrap's verify reports this row</t>
        </is>
      </c>
    </row>
    <row r="55">
      <c r="A55" s="22" t="inlineStr">
        <is>
          <t>EIR contracts blocked</t>
        </is>
      </c>
      <c r="B55" s="22" t="inlineStr">
        <is>
          <t>no golden value committed (eir_contracts_blocked)</t>
        </is>
      </c>
      <c r="C55" s="25" t="n">
        <v>33</v>
      </c>
      <c r="D55" s="22" t="n">
        <v>0.01</v>
      </c>
      <c r="E55" s="26">
        <f>IF(B55=C55,"PASS","FAIL")</f>
        <v/>
      </c>
      <c r="F55" s="22" t="inlineStr">
        <is>
          <t>the bootstrap's verify reports this row</t>
        </is>
      </c>
    </row>
    <row r="56">
      <c r="A56" s="22" t="inlineStr">
        <is>
          <t>EIR contracts solved (an EIR computed)</t>
        </is>
      </c>
      <c r="B56" s="22" t="inlineStr">
        <is>
          <t>no golden value committed (eir_contracts_solved)</t>
        </is>
      </c>
      <c r="C56" s="25" t="n">
        <v>14</v>
      </c>
      <c r="D56" s="22" t="n">
        <v>0.01</v>
      </c>
      <c r="E56" s="26">
        <f>IF(B56=C56,"PASS","FAIL")</f>
        <v/>
      </c>
      <c r="F56" s="22" t="inlineStr">
        <is>
          <t>the bootstrap's verify reports this row</t>
        </is>
      </c>
    </row>
    <row r="57">
      <c r="A57" s="22" t="inlineStr">
        <is>
          <t>EIR contracts in the contract master</t>
        </is>
      </c>
      <c r="B57" s="22" t="inlineStr">
        <is>
          <t>no golden value committed (eir_contracts)</t>
        </is>
      </c>
      <c r="C57" s="25" t="n">
        <v>144</v>
      </c>
      <c r="D57" s="22" t="n">
        <v>0.01</v>
      </c>
      <c r="E57" s="26">
        <f>IF(B57=C57,"PASS","FAIL")</f>
        <v/>
      </c>
      <c r="F57" s="22" t="inlineStr">
        <is>
          <t>the bootstrap's verify reports this row</t>
        </is>
      </c>
    </row>
    <row r="58">
      <c r="A58" s="22" t="inlineStr">
        <is>
          <t>Revenue 2024: EIR interest recognised</t>
        </is>
      </c>
      <c r="B58" s="22" t="inlineStr">
        <is>
          <t>no golden value committed (revenue_2024_eir_interest)</t>
        </is>
      </c>
      <c r="C58" s="25" t="n">
        <v>25532678.7</v>
      </c>
      <c r="D58" s="22" t="n">
        <v>0.01</v>
      </c>
      <c r="E58" s="26">
        <f>IF(B58=C58,"PASS","FAIL")</f>
        <v/>
      </c>
      <c r="F58" s="22" t="inlineStr">
        <is>
          <t>the bootstrap's verify reports this row</t>
        </is>
      </c>
    </row>
    <row r="59">
      <c r="A59" s="22" t="inlineStr">
        <is>
          <t>Revenue 2024: cash received</t>
        </is>
      </c>
      <c r="B59" s="22" t="inlineStr">
        <is>
          <t>no golden value committed (revenue_2024_cash_received)</t>
        </is>
      </c>
      <c r="C59" s="25" t="n">
        <v>34200000</v>
      </c>
      <c r="D59" s="22" t="n">
        <v>0.01</v>
      </c>
      <c r="E59" s="26">
        <f>IF(B59=C59,"PASS","FAIL")</f>
        <v/>
      </c>
      <c r="F59" s="22" t="inlineStr">
        <is>
          <t>the bootstrap's verify reports this row</t>
        </is>
      </c>
    </row>
    <row r="60">
      <c r="A60" s="22" t="inlineStr">
        <is>
          <t>Revenue 2024: roll-forward rows</t>
        </is>
      </c>
      <c r="B60" s="22" t="inlineStr">
        <is>
          <t>no golden value committed (revenue_2024_rows)</t>
        </is>
      </c>
      <c r="C60" s="25" t="n">
        <v>20</v>
      </c>
      <c r="D60" s="22" t="n">
        <v>0.01</v>
      </c>
      <c r="E60" s="26">
        <f>IF(B60=C60,"PASS","FAIL")</f>
        <v/>
      </c>
      <c r="F60" s="22" t="inlineStr">
        <is>
          <t>the bootstrap's verify reports this row</t>
        </is>
      </c>
    </row>
    <row r="61">
      <c r="A61" s="22" t="inlineStr">
        <is>
          <t>Revenue 2025: EIR interest recognised</t>
        </is>
      </c>
      <c r="B61" s="22" t="inlineStr">
        <is>
          <t>no golden value committed (revenue_2025_eir_interest)</t>
        </is>
      </c>
      <c r="C61" s="25" t="n">
        <v>663970866.88</v>
      </c>
      <c r="D61" s="22" t="n">
        <v>0.01</v>
      </c>
      <c r="E61" s="26">
        <f>IF(B61=C61,"PASS","FAIL")</f>
        <v/>
      </c>
      <c r="F61" s="22" t="inlineStr">
        <is>
          <t>the bootstrap's verify reports this row</t>
        </is>
      </c>
    </row>
    <row r="62">
      <c r="A62" s="22" t="inlineStr">
        <is>
          <t>Revenue 2025: cash received</t>
        </is>
      </c>
      <c r="B62" s="22" t="inlineStr">
        <is>
          <t>no golden value committed (revenue_2025_cash_received)</t>
        </is>
      </c>
      <c r="C62" s="25" t="n">
        <v>1158267060.2</v>
      </c>
      <c r="D62" s="22" t="n">
        <v>0.01</v>
      </c>
      <c r="E62" s="26">
        <f>IF(B62=C62,"PASS","FAIL")</f>
        <v/>
      </c>
      <c r="F62" s="22" t="inlineStr">
        <is>
          <t>the bootstrap's verify reports this row</t>
        </is>
      </c>
    </row>
    <row r="63">
      <c r="A63" s="22" t="inlineStr">
        <is>
          <t>Revenue 2025: roll-forward rows</t>
        </is>
      </c>
      <c r="B63" s="22" t="inlineStr">
        <is>
          <t>no golden value committed (revenue_2025_rows)</t>
        </is>
      </c>
      <c r="C63" s="25" t="n">
        <v>126</v>
      </c>
      <c r="D63" s="22" t="n">
        <v>0.01</v>
      </c>
      <c r="E63" s="26">
        <f>IF(B63=C63,"PASS","FAIL")</f>
        <v/>
      </c>
      <c r="F63" s="22" t="inlineStr">
        <is>
          <t>the bootstrap's verify reports this row</t>
        </is>
      </c>
    </row>
    <row r="64">
      <c r="A64" s="22" t="inlineStr">
        <is>
          <t>Revenue 2026: EIR interest recognised</t>
        </is>
      </c>
      <c r="B64" s="22" t="inlineStr">
        <is>
          <t>no golden value committed (revenue_2026_eir_interest)</t>
        </is>
      </c>
      <c r="C64" s="25" t="n">
        <v>544517024.26</v>
      </c>
      <c r="D64" s="22" t="n">
        <v>0.01</v>
      </c>
      <c r="E64" s="26">
        <f>IF(B64=C64,"PASS","FAIL")</f>
        <v/>
      </c>
      <c r="F64" s="22" t="inlineStr">
        <is>
          <t>the bootstrap's verify reports this row</t>
        </is>
      </c>
    </row>
    <row r="65">
      <c r="A65" s="22" t="inlineStr">
        <is>
          <t>Revenue 2026: cash received</t>
        </is>
      </c>
      <c r="B65" s="22" t="inlineStr">
        <is>
          <t>no golden value committed (revenue_2026_cash_received)</t>
        </is>
      </c>
      <c r="C65" s="25" t="n">
        <v>2381610987.63</v>
      </c>
      <c r="D65" s="22" t="n">
        <v>0.01</v>
      </c>
      <c r="E65" s="26">
        <f>IF(B65=C65,"PASS","FAIL")</f>
        <v/>
      </c>
      <c r="F65" s="22" t="inlineStr">
        <is>
          <t>the bootstrap's verify reports this row</t>
        </is>
      </c>
    </row>
    <row r="66">
      <c r="A66" s="22" t="inlineStr">
        <is>
          <t>Revenue 2026: roll-forward rows</t>
        </is>
      </c>
      <c r="B66" s="22" t="inlineStr">
        <is>
          <t>no golden value committed (revenue_2026_rows)</t>
        </is>
      </c>
      <c r="C66" s="25" t="n">
        <v>113</v>
      </c>
      <c r="D66" s="22" t="n">
        <v>0.01</v>
      </c>
      <c r="E66" s="26">
        <f>IF(B66=C66,"PASS","FAIL")</f>
        <v/>
      </c>
      <c r="F66" s="22" t="inlineStr">
        <is>
          <t>the bootstrap's verify reports this row</t>
        </is>
      </c>
    </row>
    <row r="67">
      <c r="A67" s="22" t="inlineStr">
        <is>
          <t>RBM return 2026-09: facilities classified loss (paragraph 12 list)</t>
        </is>
      </c>
      <c r="B67" s="22" t="inlineStr">
        <is>
          <t>no golden value committed (rbm_2026-09_loss_facilities)</t>
        </is>
      </c>
      <c r="C67" s="25" t="n">
        <v>10</v>
      </c>
      <c r="D67" s="22" t="n">
        <v>0.01</v>
      </c>
      <c r="E67" s="26">
        <f>IF(B67=C67,"PASS","FAIL")</f>
        <v/>
      </c>
      <c r="F67" s="22" t="inlineStr">
        <is>
          <t>the bootstrap's verify reports this row</t>
        </is>
      </c>
    </row>
    <row r="68">
      <c r="A68" s="22" t="inlineStr">
        <is>
          <t>RBM return 2026-09: balance of the loss list</t>
        </is>
      </c>
      <c r="B68" s="22" t="inlineStr">
        <is>
          <t>no golden value committed (rbm_2026-09_loss_balance)</t>
        </is>
      </c>
      <c r="C68" s="25" t="n">
        <v>1510956083.45</v>
      </c>
      <c r="D68" s="22" t="n">
        <v>0.01</v>
      </c>
      <c r="E68" s="26">
        <f>IF(B68=C68,"PASS","FAIL")</f>
        <v/>
      </c>
      <c r="F68" s="22" t="inlineStr">
        <is>
          <t>the bootstrap's verify reports this row</t>
        </is>
      </c>
    </row>
  </sheetData>
  <conditionalFormatting sqref="E5:E68">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2026-10-14T08:44:12Z</dcterms:created>
  <dcterms:modified xmlns:dcterms="http://purl.org/dc/terms/" xmlns:xsi="http://www.w3.org/2001/XMLSchema-instance" xsi:type="dcterms:W3CDTF">2026-10-14T08:44:12Z</dcterms:modified>
</cp:coreProperties>
</file>