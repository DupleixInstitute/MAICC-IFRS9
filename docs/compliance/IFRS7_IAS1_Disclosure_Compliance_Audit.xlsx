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Baselines" sheetId="4" state="visible" r:id="rId4"/>
  </sheets>
  <definedNames>
    <definedName name="_xlnm._FilterDatabase" localSheetId="1" hidden="1">'Audit'!$A$4:$K$21</definedName>
    <definedName name="_xlnm.Print_Titles" localSheetId="1">'Audit'!$4:$4</definedName>
    <definedName name="_xlnm.Print_Titles" localSheetId="2">'Findings'!$4:$4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B2B1A"/>
      <sz val="13"/>
    </font>
    <font>
      <name val="Arial"/>
      <i val="1"/>
      <color rgb="00595959"/>
      <sz val="9"/>
    </font>
    <font>
      <name val="Arial"/>
      <color rgb="000563C1"/>
      <sz val="9"/>
      <u val="single"/>
    </font>
    <font>
      <name val="Arial"/>
      <b val="1"/>
      <color rgb="00FFFFFF"/>
      <sz val="10"/>
    </font>
    <font>
      <name val="Arial"/>
      <b val="1"/>
      <color rgb="000B2B1A"/>
      <sz val="10"/>
    </font>
    <font>
      <name val="Arial"/>
      <sz val="9"/>
    </font>
    <font>
      <name val="Arial"/>
      <b val="1"/>
      <sz val="9"/>
    </font>
    <font>
      <name val="Arial"/>
      <b val="1"/>
      <color rgb="000B2B1A"/>
      <sz val="14"/>
    </font>
    <font>
      <name val="Arial"/>
      <i val="1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0B2B1A"/>
      </patternFill>
    </fill>
    <fill>
      <patternFill patternType="solid">
        <fgColor rgb="00FBF0E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4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 wrapText="1"/>
    </xf>
    <xf numFmtId="0" fontId="5" fillId="3" borderId="0" pivotButton="0" quotePrefix="0" xfId="0"/>
    <xf numFmtId="0" fontId="6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60B"/>
    <outlinePr summaryBelow="1" summaryRight="1"/>
    <pageSetUpPr fitToPage="1"/>
  </sheetPr>
  <dimension ref="A1:D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30" customWidth="1" min="3" max="3"/>
    <col width="16" customWidth="1" min="4" max="4"/>
  </cols>
  <sheetData>
    <row r="1">
      <c r="A1" s="1" t="inlineStr">
        <is>
          <t>IFRS 7 and IAS 1 - presentation and disclosure - compliance audit</t>
        </is>
      </c>
    </row>
    <row r="2">
      <c r="A2" s="2" t="inlineStr">
        <is>
          <t>Contents (the standard's own order of sections). Click a section to open its row on the Audit sheet.</t>
        </is>
      </c>
    </row>
    <row r="4">
      <c r="A4" s="3" t="inlineStr">
        <is>
          <t>Status definitions</t>
        </is>
      </c>
      <c r="C4" s="4" t="inlineStr">
        <is>
          <t>Sections</t>
        </is>
      </c>
    </row>
    <row r="5" ht="26" customHeight="1">
      <c r="A5" s="5" t="inlineStr">
        <is>
          <t>Done</t>
        </is>
      </c>
      <c r="B5" s="6" t="inlineStr">
        <is>
          <t>Implemented in the system and visible in an approved output; the test in column 11 fails if the behaviour changes.</t>
        </is>
      </c>
      <c r="C5" s="7">
        <f>COUNTIF(Audit!$D:$D,"Done")</f>
        <v/>
      </c>
    </row>
    <row r="6" ht="26" customHeight="1">
      <c r="A6" s="8" t="inlineStr">
        <is>
          <t>Partially done</t>
        </is>
      </c>
      <c r="B6" s="6" t="inlineStr">
        <is>
          <t>The mechanics are in place, but a parameter, an input or a piece of evidence still differs from the requirement.</t>
        </is>
      </c>
      <c r="C6" s="7">
        <f>COUNTIF(Audit!$D:$D,"Partially done")</f>
        <v/>
      </c>
    </row>
    <row r="7" ht="26" customHeight="1">
      <c r="A7" s="9" t="inlineStr">
        <is>
          <t>Outstanding</t>
        </is>
      </c>
      <c r="B7" s="6" t="inlineStr">
        <is>
          <t>Required for MAIIC and not built.</t>
        </is>
      </c>
      <c r="C7" s="7">
        <f>COUNTIF(Audit!$D:$D,"Outstanding")</f>
        <v/>
      </c>
    </row>
    <row r="8" ht="26" customHeight="1">
      <c r="A8" s="10" t="inlineStr">
        <is>
          <t>Not applicable, documented</t>
        </is>
      </c>
      <c r="B8" s="6" t="inlineStr">
        <is>
          <t>Does not apply to MAIIC by a recorded decision or fact (reason and reference given); revisit if the facts change.</t>
        </is>
      </c>
      <c r="C8" s="7">
        <f>COUNTIF(Audit!$D:$D,"Not applicable, documented")</f>
        <v/>
      </c>
    </row>
    <row r="9" ht="26" customHeight="1">
      <c r="A9" s="11" t="inlineStr">
        <is>
          <t>Evidence needed from MAIIC</t>
        </is>
      </c>
      <c r="B9" s="6" t="inlineStr">
        <is>
          <t>The system is ready; MAIIC must supply a document, minute or dataset before the row can be closed.</t>
        </is>
      </c>
      <c r="C9" s="7">
        <f>COUNTIF(Audit!$D:$D,"Evidence needed from MAIIC")</f>
        <v/>
      </c>
    </row>
    <row r="10">
      <c r="A10" s="12" t="inlineStr">
        <is>
          <t>Sections audited</t>
        </is>
      </c>
      <c r="C10" s="13">
        <f>COUNTA(Audit!$A$5:$A$21)-5</f>
        <v/>
      </c>
    </row>
    <row r="11">
      <c r="A11" s="12" t="inlineStr">
        <is>
          <t>Baselines passing</t>
        </is>
      </c>
      <c r="C11" s="13">
        <f>COUNTIF(Baselines!$E:$E,"PASS")&amp;" of "&amp;COUNTA(Baselines!$A$5:$A$500)</f>
        <v/>
      </c>
    </row>
    <row r="13">
      <c r="A13" s="14" t="inlineStr">
        <is>
          <t>Ref</t>
        </is>
      </c>
      <c r="B13" s="14" t="inlineStr">
        <is>
          <t>Section</t>
        </is>
      </c>
      <c r="C13" s="14" t="inlineStr">
        <is>
          <t>Status</t>
        </is>
      </c>
      <c r="D13" s="14" t="inlineStr">
        <is>
          <t>Open in Audit</t>
        </is>
      </c>
    </row>
    <row r="14">
      <c r="A14" s="15" t="inlineStr">
        <is>
          <t>IAS 1 PRESENTATION</t>
        </is>
      </c>
    </row>
    <row r="15">
      <c r="A15" s="16" t="inlineStr">
        <is>
          <t>IAS 1.82(a)</t>
        </is>
      </c>
      <c r="B15" s="17" t="inlineStr">
        <is>
          <t>Interest revenue at the effective interest method as its own line</t>
        </is>
      </c>
      <c r="C15" s="16">
        <f>Audit!D6</f>
        <v/>
      </c>
      <c r="D15" s="17" t="inlineStr">
        <is>
          <t>Audit row 6</t>
        </is>
      </c>
    </row>
    <row r="16">
      <c r="A16" s="15" t="inlineStr">
        <is>
          <t>IFRS 7 INCOME AND EXPENSE</t>
        </is>
      </c>
    </row>
    <row r="17">
      <c r="A17" s="16" t="inlineStr">
        <is>
          <t>7.20(b)</t>
        </is>
      </c>
      <c r="B17" s="17" t="inlineStr">
        <is>
          <t>Total interest revenue (effective interest method)</t>
        </is>
      </c>
      <c r="C17" s="16">
        <f>Audit!D8</f>
        <v/>
      </c>
      <c r="D17" s="17" t="inlineStr">
        <is>
          <t>Audit row 8</t>
        </is>
      </c>
    </row>
    <row r="18">
      <c r="A18" s="16" t="inlineStr">
        <is>
          <t>7.20A</t>
        </is>
      </c>
      <c r="B18" s="17" t="inlineStr">
        <is>
          <t>Gain or loss on derecognition of amortised-cost assets</t>
        </is>
      </c>
      <c r="C18" s="16">
        <f>Audit!D9</f>
        <v/>
      </c>
      <c r="D18" s="17" t="inlineStr">
        <is>
          <t>Audit row 9</t>
        </is>
      </c>
    </row>
    <row r="19">
      <c r="A19" s="15" t="inlineStr">
        <is>
          <t>IFRS 7 CREDIT RISK</t>
        </is>
      </c>
    </row>
    <row r="20">
      <c r="A20" s="16" t="inlineStr">
        <is>
          <t>7.35F</t>
        </is>
      </c>
      <c r="B20" s="17" t="inlineStr">
        <is>
          <t>Credit risk management practices</t>
        </is>
      </c>
      <c r="C20" s="16">
        <f>Audit!D11</f>
        <v/>
      </c>
      <c r="D20" s="17" t="inlineStr">
        <is>
          <t>Audit row 11</t>
        </is>
      </c>
    </row>
    <row r="21">
      <c r="A21" s="16" t="inlineStr">
        <is>
          <t>7.35G</t>
        </is>
      </c>
      <c r="B21" s="17" t="inlineStr">
        <is>
          <t>Inputs, assumptions and estimation techniques; sensitivity</t>
        </is>
      </c>
      <c r="C21" s="16">
        <f>Audit!D12</f>
        <v/>
      </c>
      <c r="D21" s="17" t="inlineStr">
        <is>
          <t>Audit row 12</t>
        </is>
      </c>
    </row>
    <row r="22">
      <c r="A22" s="16" t="inlineStr">
        <is>
          <t>7.35H</t>
        </is>
      </c>
      <c r="B22" s="17" t="inlineStr">
        <is>
          <t>Reconciliation of the loss allowance</t>
        </is>
      </c>
      <c r="C22" s="16">
        <f>Audit!D13</f>
        <v/>
      </c>
      <c r="D22" s="17" t="inlineStr">
        <is>
          <t>Audit row 13</t>
        </is>
      </c>
    </row>
    <row r="23">
      <c r="A23" s="16" t="inlineStr">
        <is>
          <t>7.35I</t>
        </is>
      </c>
      <c r="B23" s="17" t="inlineStr">
        <is>
          <t>Changes in the gross carrying amount that contributed to changes in the allowance</t>
        </is>
      </c>
      <c r="C23" s="16">
        <f>Audit!D14</f>
        <v/>
      </c>
      <c r="D23" s="17" t="inlineStr">
        <is>
          <t>Audit row 14</t>
        </is>
      </c>
    </row>
    <row r="24">
      <c r="A24" s="16" t="inlineStr">
        <is>
          <t>7.35K</t>
        </is>
      </c>
      <c r="B24" s="17" t="inlineStr">
        <is>
          <t>Collateral and other credit enhancements</t>
        </is>
      </c>
      <c r="C24" s="16">
        <f>Audit!D15</f>
        <v/>
      </c>
      <c r="D24" s="17" t="inlineStr">
        <is>
          <t>Audit row 15</t>
        </is>
      </c>
    </row>
    <row r="25">
      <c r="A25" s="16" t="inlineStr">
        <is>
          <t>7.35L</t>
        </is>
      </c>
      <c r="B25" s="17" t="inlineStr">
        <is>
          <t>Written-off assets still subject to enforcement</t>
        </is>
      </c>
      <c r="C25" s="16">
        <f>Audit!D16</f>
        <v/>
      </c>
      <c r="D25" s="17" t="inlineStr">
        <is>
          <t>Audit row 16</t>
        </is>
      </c>
    </row>
    <row r="26">
      <c r="A26" s="16" t="inlineStr">
        <is>
          <t>7.35M</t>
        </is>
      </c>
      <c r="B26" s="17" t="inlineStr">
        <is>
          <t>Credit risk exposure by credit-risk rating grade and stage</t>
        </is>
      </c>
      <c r="C26" s="16">
        <f>Audit!D17</f>
        <v/>
      </c>
      <c r="D26" s="17" t="inlineStr">
        <is>
          <t>Audit row 17</t>
        </is>
      </c>
    </row>
    <row r="27">
      <c r="A27" s="15" t="inlineStr">
        <is>
          <t>IFRS 7 CONCENTRATIONS</t>
        </is>
      </c>
    </row>
    <row r="28">
      <c r="A28" s="16" t="inlineStr">
        <is>
          <t>7.34(c)</t>
        </is>
      </c>
      <c r="B28" s="17" t="inlineStr">
        <is>
          <t>Concentrations of risk</t>
        </is>
      </c>
      <c r="C28" s="16">
        <f>Audit!D19</f>
        <v/>
      </c>
      <c r="D28" s="17" t="inlineStr">
        <is>
          <t>Audit row 19</t>
        </is>
      </c>
    </row>
    <row r="29">
      <c r="A29" s="15" t="inlineStr">
        <is>
          <t>THE PACK</t>
        </is>
      </c>
    </row>
    <row r="30">
      <c r="A30" s="16" t="inlineStr">
        <is>
          <t>12.5</t>
        </is>
      </c>
      <c r="B30" s="17" t="inlineStr">
        <is>
          <t>The auditor's pack</t>
        </is>
      </c>
      <c r="C30" s="16">
        <f>Audit!D21</f>
        <v/>
      </c>
      <c r="D30" s="17" t="inlineStr">
        <is>
          <t>Audit row 21</t>
        </is>
      </c>
    </row>
    <row r="32">
      <c r="A32" s="18" t="inlineStr">
        <is>
          <t>Findings that need a decision or a fix: see the 'Findings' sheet</t>
        </is>
      </c>
    </row>
    <row r="33">
      <c r="A33" s="18" t="inlineStr">
        <is>
          <t>The acceptance ties read from the system: see the 'Baselines' sheet</t>
        </is>
      </c>
    </row>
    <row r="34">
      <c r="A34" s="19" t="inlineStr">
        <is>
          <t>Source: IAS 1.82(a) (interest revenue calculated using the effective interest method presented separately); IFRS 7.20 (income, expense, gains and losses), 7.34(c) (concentrations of risk), 7.35A to 7.35M (credit risk: practices, inputs and assumptions, the allowance reconciliation 7.35H, changes in the gross carrying amount 7.35I, collateral 7.35K, write-off 7.35L, exposure by grade 7.35M). Spec v4 sections 6.11, 12, 15.7.</t>
        </is>
      </c>
    </row>
  </sheetData>
  <mergeCells count="5">
    <mergeCell ref="A27:D27"/>
    <mergeCell ref="A29:D29"/>
    <mergeCell ref="A16:D16"/>
    <mergeCell ref="A19:D19"/>
    <mergeCell ref="A14:D14"/>
  </mergeCells>
  <conditionalFormatting sqref="C14:C31">
    <cfRule type="expression" priority="1" dxfId="0">
      <formula>$C14="Done"</formula>
    </cfRule>
    <cfRule type="expression" priority="2" dxfId="1">
      <formula>$C14="Partially done"</formula>
    </cfRule>
    <cfRule type="expression" priority="3" dxfId="2">
      <formula>$C14="Outstanding"</formula>
    </cfRule>
    <cfRule type="expression" priority="4" dxfId="3">
      <formula>$C14="Not applicable, documented"</formula>
    </cfRule>
    <cfRule type="expression" priority="5" dxfId="4">
      <formula>$C14="Evidence needed from MAIIC"</formula>
    </cfRule>
  </conditionalFormatting>
  <hyperlinks>
    <hyperlink ref="B15" location="'Audit'!A6" display="Interest revenue at the effective interest method as its own line"/>
    <hyperlink ref="D15" location="'Audit'!A6" display="Audit row 6"/>
    <hyperlink ref="B17" location="'Audit'!A8" display="Total interest revenue (effective interest method)"/>
    <hyperlink ref="D17" location="'Audit'!A8" display="Audit row 8"/>
    <hyperlink ref="B18" location="'Audit'!A9" display="Gain or loss on derecognition of amortised-cost assets"/>
    <hyperlink ref="D18" location="'Audit'!A9" display="Audit row 9"/>
    <hyperlink ref="B20" location="'Audit'!A11" display="Credit risk management practices"/>
    <hyperlink ref="D20" location="'Audit'!A11" display="Audit row 11"/>
    <hyperlink ref="B21" location="'Audit'!A12" display="Inputs, assumptions and estimation techniques; sensitivity"/>
    <hyperlink ref="D21" location="'Audit'!A12" display="Audit row 12"/>
    <hyperlink ref="B22" location="'Audit'!A13" display="Reconciliation of the loss allowance"/>
    <hyperlink ref="D22" location="'Audit'!A13" display="Audit row 13"/>
    <hyperlink ref="B23" location="'Audit'!A14" display="Changes in the gross carrying amount that contributed to changes in the allowance"/>
    <hyperlink ref="D23" location="'Audit'!A14" display="Audit row 14"/>
    <hyperlink ref="B24" location="'Audit'!A15" display="Collateral and other credit enhancements"/>
    <hyperlink ref="D24" location="'Audit'!A15" display="Audit row 15"/>
    <hyperlink ref="B25" location="'Audit'!A16" display="Written-off assets still subject to enforcement"/>
    <hyperlink ref="D25" location="'Audit'!A16" display="Audit row 16"/>
    <hyperlink ref="B26" location="'Audit'!A17" display="Credit risk exposure by credit-risk rating grade and stage"/>
    <hyperlink ref="D26" location="'Audit'!A17" display="Audit row 17"/>
    <hyperlink ref="B28" location="'Audit'!A19" display="Concentrations of risk"/>
    <hyperlink ref="D28" location="'Audit'!A19" display="Audit row 19"/>
    <hyperlink ref="B30" location="'Audit'!A21" display="The auditor's pack"/>
    <hyperlink ref="D30" location="'Audit'!A21" display="Audit row 21"/>
    <hyperlink ref="A32" location="'Findings'!A1" display="Findings that need a decision or a fix: see the 'Findings' sheet"/>
    <hyperlink ref="A33" location="'Baselines'!A1" display="The acceptance ties read from the system: see the 'Baselines' sheet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B2B1A"/>
    <outlinePr summaryBelow="1" summaryRight="1"/>
    <pageSetUpPr fitToPage="1"/>
  </sheetPr>
  <dimension ref="A1:K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56" customWidth="1" min="3" max="3"/>
    <col width="22" customWidth="1" min="4" max="4"/>
    <col width="58" customWidth="1" min="5" max="5"/>
    <col width="36" customWidth="1" min="6" max="6"/>
    <col width="42" customWidth="1" min="7" max="7"/>
    <col width="46" customWidth="1" min="8" max="8"/>
    <col width="20" customWidth="1" min="9" max="9"/>
    <col width="30" customWidth="1" min="10" max="10"/>
    <col width="44" customWidth="1" min="11" max="11"/>
  </cols>
  <sheetData>
    <row r="1">
      <c r="A1" s="20" t="inlineStr">
        <is>
          <t>IAS 1 Presentation of Financial Statements (1.82(a)) and IFRS 7 Financial Instruments: Disclosures (7.20, 7.34(c), 7.35A to 7.35M) - the lines and disclosures the system produces - compliance audit</t>
        </is>
      </c>
    </row>
    <row r="2" ht="30" customHeight="1">
      <c r="A2" s="21" t="inlineStr">
        <is>
          <t>Malawi Agricultural and Industrial Investment Company (MAIIC) - IFRS 9 EIR and ECL system - build of 14 October 2026 (branch eir_revenue_recognition, commit abe140d) against specification v4. As of 14 October 2026: the report catalogue (29 reports in the Reports hub, rendered by ifrs9:smoke-reports), the IFRS 9 note (/ifrs9-reports/fs-disclosure), the EIR as at a date, the RBM Return, the scenario sets and the stress runs, at commit abe140d; figures from the fresh bootstrap maiic_ifrs9_results2 of 13 October 2026 (before commit 216aee2), read with SELECTs only. Reviewer: Deloitte. Status definitions: see 'Contents'.</t>
        </is>
      </c>
    </row>
    <row r="3">
      <c r="A3" s="18" t="inlineStr">
        <is>
          <t>Back to Contents</t>
        </is>
      </c>
    </row>
    <row r="4" ht="34" customHeight="1">
      <c r="A4" s="14" t="inlineStr">
        <is>
          <t>Reference</t>
        </is>
      </c>
      <c r="B4" s="14" t="inlineStr">
        <is>
          <t>Section name</t>
        </is>
      </c>
      <c r="C4" s="14" t="inlineStr">
        <is>
          <t>What it requires</t>
        </is>
      </c>
      <c r="D4" s="14" t="inlineStr">
        <is>
          <t>Status</t>
        </is>
      </c>
      <c r="E4" s="14" t="inlineStr">
        <is>
          <t>What the engine does (evidence checked)</t>
        </is>
      </c>
      <c r="F4" s="14" t="inlineStr">
        <is>
          <t>General comment</t>
        </is>
      </c>
      <c r="G4" s="14" t="inlineStr">
        <is>
          <t>Compliance comment</t>
        </is>
      </c>
      <c r="H4" s="14" t="inlineStr">
        <is>
          <t>Where to see it (screen; report or export)</t>
        </is>
      </c>
      <c r="I4" s="14" t="inlineStr">
        <is>
          <t>Reviewer sign-off (initials / date)</t>
        </is>
      </c>
      <c r="J4" s="14" t="inlineStr">
        <is>
          <t>Governance setting</t>
        </is>
      </c>
      <c r="K4" s="14" t="inlineStr">
        <is>
          <t>Test that proves it</t>
        </is>
      </c>
    </row>
    <row r="5">
      <c r="A5" s="15" t="inlineStr">
        <is>
          <t>IAS 1 PRESENTATION</t>
        </is>
      </c>
    </row>
    <row r="6">
      <c r="A6" s="22" t="inlineStr">
        <is>
          <t>IAS 1.82(a)</t>
        </is>
      </c>
      <c r="B6" s="22" t="inlineStr">
        <is>
          <t>Interest revenue at the effective interest method as its own line</t>
        </is>
      </c>
      <c r="C6" s="22" t="inlineStr">
        <is>
          <t>The statement of profit or loss presents interest revenue calculated using the effective interest method separately.</t>
        </is>
      </c>
      <c r="D6" s="23" t="inlineStr">
        <is>
          <t>Partially done</t>
        </is>
      </c>
      <c r="E6" s="22" t="inlineStr">
        <is>
          <t>The EIR as at a date gives the EIR interest, the contractual interest posted and the difference for any period to any date, by product, by GL and in total, with CSV, Excel and PDF; the GL reconciliation ties the contractual interest to the ledger. It covers only the loans with a locked EIR: 14 of 144 contracts on the fresh bootstrap (13 with roll-forward rows from July 2024 to September 2026). The revenue shift for 2024 and 2025 across the book (spec P9) is not yet computed.</t>
        </is>
      </c>
      <c r="F6" s="22" t="inlineStr">
        <is>
          <t>Fresh bootstrap maiic_ifrs9_results2 (13 October 2026, before commit 216aee2). Until 14 October 2026 this row was marked Done.</t>
        </is>
      </c>
      <c r="G6" s="22" t="inlineStr">
        <is>
          <t>Partially done: the line is produced for the loans with a locked EIR; the book's figure needs the remaining EIRs locked (fee reviews) and the P9 run.</t>
        </is>
      </c>
      <c r="H6" s="22" t="inlineStr">
        <is>
          <t>EIR Calculations, EIR as at a Date: /eir-as-at; GL Reconciliation: /eir-reconciliation</t>
        </is>
      </c>
      <c r="I6" s="22" t="inlineStr"/>
      <c r="J6" s="22" t="inlineStr">
        <is>
          <t>stage3_interest_basis</t>
        </is>
      </c>
      <c r="K6" s="22" t="inlineStr">
        <is>
          <t>Tests\Feature\Eir\EirAsAtServiceTest::test_the_book_rolls_up_by_product_and_gl</t>
        </is>
      </c>
    </row>
    <row r="7">
      <c r="A7" s="15" t="inlineStr">
        <is>
          <t>IFRS 7 INCOME AND EXPENSE</t>
        </is>
      </c>
    </row>
    <row r="8">
      <c r="A8" s="22" t="inlineStr">
        <is>
          <t>7.20(b)</t>
        </is>
      </c>
      <c r="B8" s="22" t="inlineStr">
        <is>
          <t>Total interest revenue (effective interest method)</t>
        </is>
      </c>
      <c r="C8" s="22" t="inlineStr">
        <is>
          <t>Disclose total interest revenue calculated using the effective interest method for financial assets at amortised cost.</t>
        </is>
      </c>
      <c r="D8" s="23" t="inlineStr">
        <is>
          <t>Partially done</t>
        </is>
      </c>
      <c r="E8" s="22" t="inlineStr">
        <is>
          <t>As IAS 1.82(a): the book view's EIR interest year to date, for the loans with a locked EIR only.</t>
        </is>
      </c>
      <c r="F8" s="22" t="inlineStr">
        <is>
          <t>Until 14 October 2026 this row was marked Done.</t>
        </is>
      </c>
      <c r="G8" s="22" t="inlineStr">
        <is>
          <t>Partially done, as IAS 1.82(a).</t>
        </is>
      </c>
      <c r="H8" s="22" t="inlineStr">
        <is>
          <t>/eir-as-at</t>
        </is>
      </c>
      <c r="I8" s="22" t="inlineStr"/>
      <c r="J8" s="22" t="inlineStr">
        <is>
          <t>stage3_interest_basis</t>
        </is>
      </c>
      <c r="K8" s="22" t="inlineStr">
        <is>
          <t>Tests\Feature\Eir\EirAsAtServiceTest::test_the_book_rolls_up_by_product_and_gl</t>
        </is>
      </c>
    </row>
    <row r="9">
      <c r="A9" s="22" t="inlineStr">
        <is>
          <t>7.20A</t>
        </is>
      </c>
      <c r="B9" s="22" t="inlineStr">
        <is>
          <t>Gain or loss on derecognition of amortised-cost assets</t>
        </is>
      </c>
      <c r="C9" s="22" t="inlineStr">
        <is>
          <t>Disclose the gain or loss on derecognition and the reasons.</t>
        </is>
      </c>
      <c r="D9" s="23" t="inlineStr">
        <is>
          <t>Outstanding</t>
        </is>
      </c>
      <c r="E9" s="22" t="inlineStr">
        <is>
          <t>Modification, the 10 percent test and derecognition on modification are not built (IFRS 9 EIR workbook, 5.4.3 and 3.3.2). The reschedule history (RS_02) landed on 12 October 2026.</t>
        </is>
      </c>
      <c r="F9" s="22" t="inlineStr"/>
      <c r="G9" s="22" t="inlineStr">
        <is>
          <t>Outstanding (Dupleix, with the restructure register).</t>
        </is>
      </c>
      <c r="H9" s="22" t="inlineStr"/>
      <c r="I9" s="22" t="inlineStr"/>
      <c r="J9" s="22" t="inlineStr"/>
      <c r="K9" s="22" t="inlineStr"/>
    </row>
    <row r="10">
      <c r="A10" s="15" t="inlineStr">
        <is>
          <t>IFRS 7 CREDIT RISK</t>
        </is>
      </c>
    </row>
    <row r="11">
      <c r="A11" s="22" t="inlineStr">
        <is>
          <t>7.35F</t>
        </is>
      </c>
      <c r="B11" s="22" t="inlineStr">
        <is>
          <t>Credit risk management practices</t>
        </is>
      </c>
      <c r="C11" s="22" t="inlineStr">
        <is>
          <t>Explain how the entity determines a significant increase in credit risk and default, how instruments were grouped, and the write-off policy.</t>
        </is>
      </c>
      <c r="D11" s="23" t="inlineStr">
        <is>
          <t>Partially done</t>
        </is>
      </c>
      <c r="E11" s="22" t="inlineStr">
        <is>
          <t>The staging thresholds by facility class with their rebuttal basis, the missed-instalment trigger, the cure period, the SICR groups, the PD and LGD segmentation and the 61 catalogue settings are in the system with their rationale, and the IFRS 9 note writes its policy text from them. The write-off policy is MAIIC's to state; the write-off classifier and register exist (220a5a6).</t>
        </is>
      </c>
      <c r="F11" s="22" t="inlineStr">
        <is>
          <t>Until 14 October 2026 the row said 48 governed settings.</t>
        </is>
      </c>
      <c r="G11" s="22" t="inlineStr">
        <is>
          <t>Partially done: the write-off policy is evidence awaited.</t>
        </is>
      </c>
      <c r="H11" s="22" t="inlineStr">
        <is>
          <t>Governance: Governance Centre /eir-governance; Settings, Staging basis: /setting?tab=staging; Reports: IFRS 9 note (FS disclosure) /ifrs9-reports/fs-disclosure</t>
        </is>
      </c>
      <c r="I11" s="22" t="inlineStr"/>
      <c r="J11" s="22" t="inlineStr">
        <is>
          <t>dpd_basis; stage3_missed_instalments; stage_cure_months; pd_segmentation_basis</t>
        </is>
      </c>
      <c r="K11" s="22" t="inlineStr">
        <is>
          <t>Tests\Feature\Eir\StagingThresholdSeederTest</t>
        </is>
      </c>
    </row>
    <row r="12">
      <c r="A12" s="22" t="inlineStr">
        <is>
          <t>7.35G</t>
        </is>
      </c>
      <c r="B12" s="22" t="inlineStr">
        <is>
          <t>Inputs, assumptions and estimation techniques; sensitivity</t>
        </is>
      </c>
      <c r="C12" s="22" t="inlineStr">
        <is>
          <t>Explain the basis of inputs and assumptions, how forward-looking information was incorporated, and changes from the previous period.</t>
        </is>
      </c>
      <c r="D12" s="23" t="inlineStr">
        <is>
          <t>Done</t>
        </is>
      </c>
      <c r="E12" s="22" t="inlineStr">
        <is>
          <t>The scenario set stores its sensitivity (the ECL under each scenario, weighted) and the stress runs save the ECL under each scenario; the transmission method cards explain the forward-looking route; the IFRS 9 note writes its assumptions from the governed settings. The hub's Sensitivity entry now redirects to Stress Testing.</t>
        </is>
      </c>
      <c r="F12" s="22" t="inlineStr">
        <is>
          <t>Until 14 October 2026 the test cited was the scenario set's approval test.</t>
        </is>
      </c>
      <c r="G12" s="22" t="inlineStr">
        <is>
          <t>Compliant.</t>
        </is>
      </c>
      <c r="H12" s="22" t="inlineStr">
        <is>
          <t>Forward-Looking Information, Scenario Sets: /scenario-sets; Stress Testing: /stress-testing; Reports: IFRS 9 note (FS disclosure) /ifrs9-reports/fs-disclosure</t>
        </is>
      </c>
      <c r="I12" s="22" t="inlineStr"/>
      <c r="J12" s="22" t="inlineStr">
        <is>
          <t>scenario_weighting_method; fli_transmission_method</t>
        </is>
      </c>
      <c r="K12" s="22" t="inlineStr">
        <is>
          <t>Tests\Feature\FLI\FliRouteServiceTest::test_the_ecl_on_the_post_fli_pd_is_the_weighted_ecl_across_scenarios; Tests\Feature\StressTestingReconciliationTest::test_driver_run_matches_hand_computed_ecl</t>
        </is>
      </c>
    </row>
    <row r="13">
      <c r="A13" s="22" t="inlineStr">
        <is>
          <t>7.35H</t>
        </is>
      </c>
      <c r="B13" s="22" t="inlineStr">
        <is>
          <t>Reconciliation of the loss allowance</t>
        </is>
      </c>
      <c r="C13" s="22" t="inlineStr">
        <is>
          <t>Reconcile the opening to the closing loss allowance by class, showing changes from staging transfers, originations, derecognitions, write-offs and remeasurement.</t>
        </is>
      </c>
      <c r="D13" s="23" t="inlineStr">
        <is>
          <t>Partially done</t>
        </is>
      </c>
      <c r="E13" s="22" t="inlineStr">
        <is>
          <t>The IFRS 9 note reconciles opening to closing by stage with transfers, new assets, derecognitions and remeasurement, and refuses a download unless every column ties (EclMovementAttribution). Write-offs are always nil: the note marks no loan as written off (Ifrs9NoteService, written_off false) and its text says so; the ECL Reconciliation export hard-codes 0 (EclReconciliationService), although 22 ledger write-offs of 60,778,466.86 are classified on the fresh bootstrap. The allowance it reconciles is the undiscounted ecl_value.</t>
        </is>
      </c>
      <c r="F13" s="22" t="inlineStr">
        <is>
          <t>Fresh bootstrap maiic_ifrs9_results2 (13 October 2026, before commit 216aee2). Until 14 October 2026 this row was marked Done.</t>
        </is>
      </c>
      <c r="G13" s="22" t="inlineStr">
        <is>
          <t>Partially done: write-offs must come from the classifier and register, and the allowance from the discounted figure.</t>
        </is>
      </c>
      <c r="H13" s="22" t="inlineStr">
        <is>
          <t>Reports: IFRS 9 note (FS disclosure) /ifrs9-reports/fs-disclosure; ECL Reconciliation: /ifrs9-reports/ecl-reconciliation and /report/ecl-reconciliation</t>
        </is>
      </c>
      <c r="I13" s="22" t="inlineStr"/>
      <c r="J13" s="22" t="inlineStr"/>
      <c r="K13" s="22" t="inlineStr">
        <is>
          <t>Tests\Unit\EclMovementAttributionTest::test_every_column_ties; Tests\Unit\EclMovementAttributionTest::test_new_derecognised_and_written_off</t>
        </is>
      </c>
    </row>
    <row r="14">
      <c r="A14" s="22" t="inlineStr">
        <is>
          <t>7.35I</t>
        </is>
      </c>
      <c r="B14" s="22" t="inlineStr">
        <is>
          <t>Changes in the gross carrying amount that contributed to changes in the allowance</t>
        </is>
      </c>
      <c r="C14" s="22" t="inlineStr">
        <is>
          <t>Explain how significant changes in the gross carrying amount contributed to changes in the loss allowance.</t>
        </is>
      </c>
      <c r="D14" s="23" t="inlineStr">
        <is>
          <t>Partially done</t>
        </is>
      </c>
      <c r="E14" s="22" t="inlineStr">
        <is>
          <t>The loan book of every month from July 2024 holds the gross carrying amount derived from the ledger with its provenance; the IFRS 9 note's gross table and the Gross Movement report render. The Loan Book Reconciliation's write-off line filters contract_status like '%write%' (LoanBookReconciliationService), but the statuses are single letters (A, C, D, F on the fresh bootstrap), so the line is always nil.</t>
        </is>
      </c>
      <c r="F14" s="22" t="inlineStr">
        <is>
          <t>Fresh bootstrap maiic_ifrs9_results2 (13 October 2026, before commit 216aee2). Until 14 October 2026 this row was marked Done.</t>
        </is>
      </c>
      <c r="G14" s="22" t="inlineStr">
        <is>
          <t>Partially done: the write-off line must read the classified write-offs.</t>
        </is>
      </c>
      <c r="H14" s="22" t="inlineStr">
        <is>
          <t>Reports: IFRS 9 note (FS disclosure) /ifrs9-reports/fs-disclosure; Gross Movement /ifrs9-reports/gross-movement; Loan Book Reconciliation /report/loan-book-reconciliation; Disbursements /report/disbursement-report</t>
        </is>
      </c>
      <c r="I14" s="22" t="inlineStr"/>
      <c r="J14" s="22" t="inlineStr">
        <is>
          <t>loan_book_build_method</t>
        </is>
      </c>
      <c r="K14" s="22" t="inlineStr">
        <is>
          <t>Tests\Feature\Ebanker\LoanBookBuildServiceTest::test_method_b_derives_the_carrying_amount_from_the_ledger_and_keeps_the_stored_figure_beside_it</t>
        </is>
      </c>
    </row>
    <row r="15">
      <c r="A15" s="22" t="inlineStr">
        <is>
          <t>7.35K</t>
        </is>
      </c>
      <c r="B15" s="22" t="inlineStr">
        <is>
          <t>Collateral and other credit enhancements</t>
        </is>
      </c>
      <c r="C15" s="22" t="inlineStr">
        <is>
          <t>Disclose the effect of collateral on the amount of the loss allowance and the nature of the collateral held.</t>
        </is>
      </c>
      <c r="D15" s="23" t="inlineStr">
        <is>
          <t>Partially done</t>
        </is>
      </c>
      <c r="E15" s="22" t="inlineStr">
        <is>
          <t>The E-Banker security register (P2_11, 185 rows) is landed and the collateral screens exist with a checked import; on the fresh bootstrap collateral_registers and collateral_allocations are empty, and the LGD engine reads no collateral, so its effect on the allowance cannot be shown.</t>
        </is>
      </c>
      <c r="F15" s="22" t="inlineStr">
        <is>
          <t>Until 14 October 2026 this row was Evidence needed; the LGD link is also Dupleix's.</t>
        </is>
      </c>
      <c r="G15" s="22" t="inlineStr">
        <is>
          <t>Partially done: Credit supplies the security and valuations; Dupleix links collateral to the LGD.</t>
        </is>
      </c>
      <c r="H15" s="22" t="inlineStr">
        <is>
          <t>Collateral Management, Collateral Register: /collateral/register; Reports: LGD and collateral /ifrs9-reports/lgd-collateral</t>
        </is>
      </c>
      <c r="I15" s="22" t="inlineStr"/>
      <c r="J15" s="22" t="inlineStr"/>
      <c r="K15" s="22" t="inlineStr">
        <is>
          <t>Tests\Feature\Imports\ImportValidationTest::test_a_collateral_file_with_bad_values_lists_each_problem_by_row</t>
        </is>
      </c>
    </row>
    <row r="16">
      <c r="A16" s="22" t="inlineStr">
        <is>
          <t>7.35L</t>
        </is>
      </c>
      <c r="B16" s="22" t="inlineStr">
        <is>
          <t>Written-off assets still subject to enforcement</t>
        </is>
      </c>
      <c r="C16" s="22" t="inlineStr">
        <is>
          <t>Disclose the contractual amount outstanding on assets written off in the period that are still subject to enforcement activity.</t>
        </is>
      </c>
      <c r="D16" s="23" t="inlineStr">
        <is>
          <t>Partially done</t>
        </is>
      </c>
      <c r="E16" s="22" t="inlineStr">
        <is>
          <t>Ledger write-offs are classified (22 of 60,778,466.86 on the fresh bootstrap) and the register records any other; neither carries a 'still under enforcement' field, and no disclosure line is produced.</t>
        </is>
      </c>
      <c r="F16" s="22" t="inlineStr">
        <is>
          <t>Fresh bootstrap maiic_ifrs9_results2 (13 October 2026, before commit 216aee2). Until 14 October 2026 this row said no write-off had been posted since the take-on.</t>
        </is>
      </c>
      <c r="G16" s="22" t="inlineStr">
        <is>
          <t>Partially done: Finance states which written-off accounts are under enforcement; Dupleix adds the field and the line.</t>
        </is>
      </c>
      <c r="H16" s="22" t="inlineStr">
        <is>
          <t>EIR Data, Write-offs: /eir-write-offs</t>
        </is>
      </c>
      <c r="I16" s="22" t="inlineStr"/>
      <c r="J16" s="22" t="inlineStr"/>
      <c r="K16" s="22" t="inlineStr"/>
    </row>
    <row r="17">
      <c r="A17" s="22" t="inlineStr">
        <is>
          <t>7.35M</t>
        </is>
      </c>
      <c r="B17" s="22" t="inlineStr">
        <is>
          <t>Credit risk exposure by credit-risk rating grade and stage</t>
        </is>
      </c>
      <c r="C17" s="22" t="inlineStr">
        <is>
          <t>Disclose the gross carrying amount by credit risk rating grade, separately for 12-month and lifetime ECL (Stage 1, 2, 3).</t>
        </is>
      </c>
      <c r="D17" s="23" t="inlineStr">
        <is>
          <t>Done</t>
        </is>
      </c>
      <c r="E17" s="22" t="inlineStr">
        <is>
          <t>The IFRS 9 note and the RBM Classification report present the book by stage and by RBM class (days past due by term). The internal grades are not populated (internal_grade_code is null on every main-book loan on the fresh bootstrap; 0 internal grade profiles), so the grade used is the days-past-due class, which IFRS 7 B8I allows where past-due information is the basis of the SICR assessment.</t>
        </is>
      </c>
      <c r="F17" s="22" t="inlineStr">
        <is>
          <t>Fresh bootstrap maiic_ifrs9_results2 (13 October 2026, before commit 216aee2).</t>
        </is>
      </c>
      <c r="G17" s="22" t="inlineStr">
        <is>
          <t>Compliant on the days-past-due basis.</t>
        </is>
      </c>
      <c r="H17" s="22" t="inlineStr">
        <is>
          <t>Reports: IFRS 9 note (FS disclosure) /ifrs9-reports/fs-disclosure; RBM Classification /ifrs9-reports/rbm-classification; Stage Allocation /ifrs9-reports/stage-allocation</t>
        </is>
      </c>
      <c r="I17" s="22" t="inlineStr"/>
      <c r="J17" s="22" t="inlineStr">
        <is>
          <t>dpd_basis</t>
        </is>
      </c>
      <c r="K17" s="22" t="inlineStr">
        <is>
          <t>Tests\Feature\Eir\StagingServiceTest::test_the_directive_thresholds_by_tenor_class_and_the_bucket_fallback; Tests\Feature\Rbm\RbmReturnServiceTest::test_the_rbm_classification_report_agrees_with_the_return_on_every_loan</t>
        </is>
      </c>
    </row>
    <row r="18">
      <c r="A18" s="15" t="inlineStr">
        <is>
          <t>IFRS 7 CONCENTRATIONS</t>
        </is>
      </c>
    </row>
    <row r="19">
      <c r="A19" s="22" t="inlineStr">
        <is>
          <t>7.34(c)</t>
        </is>
      </c>
      <c r="B19" s="22" t="inlineStr">
        <is>
          <t>Concentrations of risk</t>
        </is>
      </c>
      <c r="C19" s="22" t="inlineStr">
        <is>
          <t>Disclose concentrations of risk if not otherwise apparent.</t>
        </is>
      </c>
      <c r="D19" s="23" t="inlineStr">
        <is>
          <t>Done</t>
        </is>
      </c>
      <c r="E19" s="22" t="inlineStr">
        <is>
          <t>The Concentration and large exposures report gives single-name and portfolio concentration (HHI) by sector, product and borrower; the sector and product-group ECL reports render.</t>
        </is>
      </c>
      <c r="F19" s="22" t="inlineStr">
        <is>
          <t>Until 14 October 2026 this row was referenced 7.35N (the provision-matrix paragraph) and cited an unrelated test.</t>
        </is>
      </c>
      <c r="G19" s="22" t="inlineStr">
        <is>
          <t>Compliant.</t>
        </is>
      </c>
      <c r="H19" s="22" t="inlineStr">
        <is>
          <t>Reports: Concentration and large exposures /ifrs9-reports/concentration; Sector ECL /ifrs9-reports/sector-ecl</t>
        </is>
      </c>
      <c r="I19" s="22" t="inlineStr"/>
      <c r="J19" s="22" t="inlineStr"/>
      <c r="K19" s="22" t="inlineStr">
        <is>
          <t>ifrs9:smoke-reports (renders every hub report; no PHPUnit test of this report)</t>
        </is>
      </c>
    </row>
    <row r="20">
      <c r="A20" s="15" t="inlineStr">
        <is>
          <t>THE PACK</t>
        </is>
      </c>
    </row>
    <row r="21">
      <c r="A21" s="22" t="inlineStr">
        <is>
          <t>12.5</t>
        </is>
      </c>
      <c r="B21" s="22" t="inlineStr">
        <is>
          <t>The auditor's pack</t>
        </is>
      </c>
      <c r="C21" s="22" t="inlineStr">
        <is>
          <t>The disclosures and the figures behind them handed to the auditor as one archive with a manifest.</t>
        </is>
      </c>
      <c r="D21" s="23" t="inlineStr">
        <is>
          <t>Done</t>
        </is>
      </c>
      <c r="E21" s="22" t="inlineStr">
        <is>
          <t>compliance:audits --pack={period} bundles the workbooks, the EIR as at the period end, the baselines and the ECL by stage with a SHA-256 per file in manifest.json; the Auditor Pack screen lists the packs with their manifest counts and hands one out.</t>
        </is>
      </c>
      <c r="F21" s="22" t="inlineStr">
        <is>
          <t>Until 14 October 2026 the test cited was unrelated.</t>
        </is>
      </c>
      <c r="G21" s="22" t="inlineStr">
        <is>
          <t>Compliant.</t>
        </is>
      </c>
      <c r="H21" s="22" t="inlineStr">
        <is>
          <t>Governance, Audit: Auditor Pack /auditor-pack; compliance:audits --pack</t>
        </is>
      </c>
      <c r="I21" s="22" t="inlineStr"/>
      <c r="J21" s="22" t="inlineStr"/>
      <c r="K21" s="22" t="inlineStr">
        <is>
          <t>Tests\Feature\AuditFindingM16ScreensTest::test_the_auditor_pack_screen_lists_the_packs_with_their_manifest_counts_and_hands_one_out</t>
        </is>
      </c>
    </row>
  </sheetData>
  <autoFilter ref="A4:K21"/>
  <mergeCells count="6">
    <mergeCell ref="A18:K18"/>
    <mergeCell ref="A20:K20"/>
    <mergeCell ref="A7:K7"/>
    <mergeCell ref="A2:K2"/>
    <mergeCell ref="A10:K10"/>
    <mergeCell ref="A5:K5"/>
  </mergeCells>
  <conditionalFormatting sqref="D5:D21">
    <cfRule type="expression" priority="1" dxfId="0">
      <formula>$D5="Done"</formula>
    </cfRule>
    <cfRule type="expression" priority="2" dxfId="1">
      <formula>$D5="Partially done"</formula>
    </cfRule>
    <cfRule type="expression" priority="3" dxfId="2">
      <formula>$D5="Outstanding"</formula>
    </cfRule>
    <cfRule type="expression" priority="4" dxfId="3">
      <formula>$D5="Not applicable, documented"</formula>
    </cfRule>
    <cfRule type="expression" priority="5" dxfId="4">
      <formula>$D5="Evidence needed from MAIIC"</formula>
    </cfRule>
  </conditionalFormatting>
  <conditionalFormatting sqref="K5:K21">
    <cfRule type="expression" priority="6" dxfId="2">
      <formula>AND($D5="Done",$K5="")</formula>
    </cfRule>
  </conditionalFormatting>
  <dataValidations count="1">
    <dataValidation sqref="D5:D21" showDropDown="0" showInputMessage="0" showErrorMessage="0" allowBlank="1" type="list">
      <formula1>"Done,Partially done,Outstanding,Not applicable, documented,Evidence needed from MAIIC"</formula1>
    </dataValidation>
  </dataValidations>
  <hyperlinks>
    <hyperlink ref="A3" location="'Contents'!A1" display="Back to Contents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64" customWidth="1" min="4" max="4"/>
    <col width="40" customWidth="1" min="5" max="5"/>
    <col width="64" customWidth="1" min="6" max="6"/>
    <col width="26" customWidth="1" min="7" max="7"/>
    <col width="12" customWidth="1" min="8" max="8"/>
  </cols>
  <sheetData>
    <row r="1">
      <c r="A1" s="20" t="inlineStr">
        <is>
          <t>Findings - items that need a decision or a fix before this standard can be signed off</t>
        </is>
      </c>
    </row>
    <row r="2">
      <c r="A2" s="18" t="inlineStr">
        <is>
          <t>Back to Contents</t>
        </is>
      </c>
    </row>
    <row r="4">
      <c r="A4" s="14" t="inlineStr">
        <is>
          <t>No.</t>
        </is>
      </c>
      <c r="B4" s="14" t="inlineStr">
        <is>
          <t>Reference</t>
        </is>
      </c>
      <c r="C4" s="14" t="inlineStr">
        <is>
          <t>Finding</t>
        </is>
      </c>
      <c r="D4" s="14" t="inlineStr">
        <is>
          <t>What was found</t>
        </is>
      </c>
      <c r="E4" s="14" t="inlineStr">
        <is>
          <t>Impact</t>
        </is>
      </c>
      <c r="F4" s="14" t="inlineStr">
        <is>
          <t>Recommended action</t>
        </is>
      </c>
      <c r="G4" s="14" t="inlineStr">
        <is>
          <t>Owner</t>
        </is>
      </c>
      <c r="H4" s="14" t="inlineStr">
        <is>
          <t>Status</t>
        </is>
      </c>
    </row>
    <row r="5">
      <c r="A5" s="22" t="inlineStr">
        <is>
          <t>F1</t>
        </is>
      </c>
      <c r="B5" s="24" t="inlineStr">
        <is>
          <t>7.35K</t>
        </is>
      </c>
      <c r="C5" s="22" t="inlineStr">
        <is>
          <t>Collateral for the active accounts and the LGD link</t>
        </is>
      </c>
      <c r="D5" s="22" t="inlineStr">
        <is>
          <t>The collateral register is empty on the fresh bootstrap and the LGD reads no collateral (the request to Credit of 7 October covered 31 active accounts with no security).</t>
        </is>
      </c>
      <c r="E5" s="22" t="inlineStr">
        <is>
          <t>The collateral disclosure and the LGD rest on nothing yet.</t>
        </is>
      </c>
      <c r="F5" s="22" t="inlineStr">
        <is>
          <t>Credit supplies the security and valuations; Dupleix adds collateral to the LGD.</t>
        </is>
      </c>
      <c r="G5" s="22" t="inlineStr">
        <is>
          <t>Credit / Dupleix</t>
        </is>
      </c>
      <c r="H5" s="22" t="inlineStr">
        <is>
          <t>Open</t>
        </is>
      </c>
    </row>
    <row r="6">
      <c r="A6" s="22" t="inlineStr">
        <is>
          <t>F2</t>
        </is>
      </c>
      <c r="B6" s="24" t="inlineStr">
        <is>
          <t>7.35F, 7.35L</t>
        </is>
      </c>
      <c r="C6" s="22" t="inlineStr">
        <is>
          <t>No write-off policy in the system</t>
        </is>
      </c>
      <c r="D6" s="22" t="inlineStr">
        <is>
          <t>The write-off classifier and register exist (220a5a6), but MAIIC's policy and the enforcement status of written-off accounts are not held.</t>
        </is>
      </c>
      <c r="E6" s="22" t="inlineStr">
        <is>
          <t>The practices disclosure and 7.35L are incomplete.</t>
        </is>
      </c>
      <c r="F6" s="22" t="inlineStr">
        <is>
          <t>Finance supplies the policy and the enforcement list; the help centre carries the policy.</t>
        </is>
      </c>
      <c r="G6" s="22" t="inlineStr">
        <is>
          <t>Finance</t>
        </is>
      </c>
      <c r="H6" s="22" t="inlineStr">
        <is>
          <t>Open</t>
        </is>
      </c>
    </row>
    <row r="7">
      <c r="A7" s="22" t="inlineStr">
        <is>
          <t>F3</t>
        </is>
      </c>
      <c r="B7" s="24" t="inlineStr">
        <is>
          <t>7.35H, 7.35I</t>
        </is>
      </c>
      <c r="C7" s="22" t="inlineStr">
        <is>
          <t>Write-offs are nil in the note and the reconciliations</t>
        </is>
      </c>
      <c r="D7" s="22" t="inlineStr">
        <is>
          <t>Ifrs9NoteService marks no loan written off; EclReconciliationService hard-codes 0; LoanBookReconciliationService filters a status text that never occurs. 22 ledger write-offs of 60,778,466.86 are classified on the fresh bootstrap.</t>
        </is>
      </c>
      <c r="E7" s="22" t="inlineStr">
        <is>
          <t>The allowance and gross reconciliations misstate write-offs as derecognitions or omit them.</t>
        </is>
      </c>
      <c r="F7" s="22" t="inlineStr">
        <is>
          <t>Read write-offs from the classifier and approved register entries in all three.</t>
        </is>
      </c>
      <c r="G7" s="22" t="inlineStr">
        <is>
          <t>Dupleix</t>
        </is>
      </c>
      <c r="H7" s="22" t="inlineStr">
        <is>
          <t>Open</t>
        </is>
      </c>
    </row>
    <row r="8">
      <c r="A8" s="22" t="inlineStr">
        <is>
          <t>F4</t>
        </is>
      </c>
      <c r="B8" s="24" t="inlineStr">
        <is>
          <t>IAS 1.82(a), 7.20(b)</t>
        </is>
      </c>
      <c r="C8" s="22" t="inlineStr">
        <is>
          <t>EIR interest covers the locked loans only</t>
        </is>
      </c>
      <c r="D8" s="22" t="inlineStr">
        <is>
          <t>14 of 144 contracts carry a locked EIR on the fresh bootstrap; the 2024 and 2025 revenue shift for the book (P9) is not computed.</t>
        </is>
      </c>
      <c r="E8" s="22" t="inlineStr">
        <is>
          <t>The EIR interest line is not yet the book's.</t>
        </is>
      </c>
      <c r="F8" s="22" t="inlineStr">
        <is>
          <t>Lock the remaining EIRs after the fee reviews; run P9.</t>
        </is>
      </c>
      <c r="G8" s="22" t="inlineStr">
        <is>
          <t>MAIIC reviewers / Dupleix</t>
        </is>
      </c>
      <c r="H8" s="22" t="inlineStr">
        <is>
          <t>Open</t>
        </is>
      </c>
    </row>
  </sheetData>
  <dataValidations count="1">
    <dataValidation sqref="H5:H8" showDropDown="0" showInputMessage="0" showErrorMessage="0" allowBlank="1" type="list">
      <formula1>"Open,In progress,Closed,Deferred"</formula1>
    </dataValidation>
  </dataValidations>
  <hyperlinks>
    <hyperlink ref="A2" location="'Contents'!A1" display="Back to Contents"/>
    <hyperlink ref="B5" location="'Audit'!A15" display="7.35K"/>
    <hyperlink ref="B6" location="'Audit'!A11" display="7.35F, 7.35L"/>
    <hyperlink ref="B7" location="'Audit'!A13" display="7.35H, 7.35I"/>
    <hyperlink ref="B8" location="'Audit'!A6" display="IAS 1.82(a), 7.20(b)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22" customWidth="1" min="2" max="2"/>
    <col width="24" customWidth="1" min="3" max="3"/>
    <col width="12" customWidth="1" min="4" max="4"/>
    <col width="10" customWidth="1" min="5" max="5"/>
    <col width="50" customWidth="1" min="6" max="6"/>
  </cols>
  <sheetData>
    <row r="1">
      <c r="A1" s="20" t="inlineStr">
        <is>
          <t>Baselines - the acceptance ties of specification section 9, read from the system at generation</t>
        </is>
      </c>
    </row>
    <row r="2">
      <c r="A2" s="18" t="inlineStr">
        <is>
          <t>Back to Contents</t>
        </is>
      </c>
    </row>
    <row r="3">
      <c r="A3" s="2" t="inlineStr">
        <is>
          <t>Generated 2026-10-14 08:30:26 from maiic_ifrs9_results2. The PASS/FAIL in column E is a formula on columns B and C, so it recomputes if a figure is typed over.</t>
        </is>
      </c>
    </row>
    <row r="4">
      <c r="A4" s="14" t="inlineStr">
        <is>
          <t>Tie</t>
        </is>
      </c>
      <c r="B4" s="14" t="inlineStr">
        <is>
          <t>Expected</t>
        </is>
      </c>
      <c r="C4" s="14" t="inlineStr">
        <is>
          <t>System figure at generation</t>
        </is>
      </c>
      <c r="D4" s="14" t="inlineStr">
        <is>
          <t>Tolerance</t>
        </is>
      </c>
      <c r="E4" s="14" t="inlineStr">
        <is>
          <t>Result</t>
        </is>
      </c>
      <c r="F4" s="14" t="inlineStr">
        <is>
          <t>Note</t>
        </is>
      </c>
    </row>
    <row r="5">
      <c r="A5" s="22" t="inlineStr">
        <is>
          <t>Interest posted Jan 2025 to Jul 2026 (ledger, types 303 and 120)</t>
        </is>
      </c>
      <c r="B5" s="25" t="n">
        <v>5293988207.06</v>
      </c>
      <c r="C5" s="25" t="n">
        <v>5293988207.06</v>
      </c>
      <c r="D5" s="22" t="n">
        <v>1</v>
      </c>
      <c r="E5" s="26">
        <f>IF(ABS(B5-C5)&lt;=D5,"PASS","FAIL")</f>
        <v/>
      </c>
      <c r="F5" s="22" t="inlineStr"/>
    </row>
    <row r="6">
      <c r="A6" s="22" t="inlineStr">
        <is>
          <t>Derived carrying amount against the stored report, in-scope loan GLs (over 2 cents)</t>
        </is>
      </c>
      <c r="B6" s="22" t="inlineStr">
        <is>
          <t>0 differences</t>
        </is>
      </c>
      <c r="C6" s="22" t="inlineStr">
        <is>
          <t>0 of 2495 account-months</t>
        </is>
      </c>
      <c r="D6" s="22" t="n">
        <v>0.01</v>
      </c>
      <c r="E6" s="26">
        <f>IF(B6=C6,"PASS","FAIL")</f>
        <v/>
      </c>
      <c r="F6" s="22" t="inlineStr"/>
    </row>
    <row r="7">
      <c r="A7" s="22" t="inlineStr">
        <is>
          <t>Mega Farm: account-months whose MF_03 ledger differs from the Loan Book Report (reported, not a test)</t>
        </is>
      </c>
      <c r="B7" s="22" t="inlineStr">
        <is>
          <t>reported</t>
        </is>
      </c>
      <c r="C7" s="22" t="inlineStr">
        <is>
          <t>77540 account-months</t>
        </is>
      </c>
      <c r="D7" s="22" t="n">
        <v>0.01</v>
      </c>
      <c r="E7" s="26">
        <f>IF(B7=C7,"PASS","FAIL")</f>
        <v/>
      </c>
      <c r="F7" s="22" t="inlineStr"/>
    </row>
    <row r="8">
      <c r="A8" s="22" t="inlineStr">
        <is>
          <t>Year-end interest batch contra on 4215</t>
        </is>
      </c>
      <c r="B8" s="25" t="n">
        <v>32956675.55</v>
      </c>
      <c r="C8" s="25" t="n">
        <v>32956675.55</v>
      </c>
      <c r="D8" s="22" t="n">
        <v>1</v>
      </c>
      <c r="E8" s="26">
        <f>IF(ABS(B8-C8)&lt;=D8,"PASS","FAIL")</f>
        <v/>
      </c>
      <c r="F8" s="22" t="inlineStr"/>
    </row>
    <row r="9">
      <c r="A9" s="22" t="inlineStr">
        <is>
          <t>Year-end interest batch contra on 4216</t>
        </is>
      </c>
      <c r="B9" s="25" t="n">
        <v>-21733262.7</v>
      </c>
      <c r="C9" s="25" t="n">
        <v>-21733262.7</v>
      </c>
      <c r="D9" s="22" t="n">
        <v>0.01</v>
      </c>
      <c r="E9" s="26">
        <f>IF(ABS(B9-C9)&lt;=D9,"PASS","FAIL")</f>
        <v/>
      </c>
      <c r="F9" s="22" t="inlineStr"/>
    </row>
    <row r="10">
      <c r="A10" s="22" t="inlineStr">
        <is>
          <t>Loan book 1050101 at 31 Dec 2025 against the trial balance</t>
        </is>
      </c>
      <c r="B10" s="25" t="n">
        <v>1368737810.68</v>
      </c>
      <c r="C10" s="25" t="n">
        <v>1368737810.68</v>
      </c>
      <c r="D10" s="22" t="n">
        <v>1</v>
      </c>
      <c r="E10" s="26">
        <f>IF(ABS(B10-C10)&lt;=D10,"PASS","FAIL")</f>
        <v/>
      </c>
      <c r="F10" s="22" t="inlineStr"/>
    </row>
    <row r="11">
      <c r="A11" s="22" t="inlineStr">
        <is>
          <t>Loan book 1050102 at 31 Dec 2025 against the trial balance</t>
        </is>
      </c>
      <c r="B11" s="25" t="n">
        <v>6434045052.56</v>
      </c>
      <c r="C11" s="25" t="n">
        <v>6434045052.56</v>
      </c>
      <c r="D11" s="22" t="n">
        <v>1</v>
      </c>
      <c r="E11" s="26">
        <f>IF(ABS(B11-C11)&lt;=D11,"PASS","FAIL")</f>
        <v/>
      </c>
      <c r="F11" s="22" t="inlineStr"/>
    </row>
    <row r="12">
      <c r="A12" s="22" t="inlineStr">
        <is>
          <t>Loan book 1050201 at 31 Dec 2025 against the trial balance (accepted exception, spec 3.5: -400,000.00)</t>
        </is>
      </c>
      <c r="B12" s="25" t="n">
        <v>1402393139.46</v>
      </c>
      <c r="C12" s="25" t="n">
        <v>1401993139.46</v>
      </c>
      <c r="D12" s="22" t="n">
        <v>1</v>
      </c>
      <c r="E12" s="26">
        <f>IF(ABS(B12-C12)&lt;=D12,"PASS","FAIL")</f>
        <v/>
      </c>
      <c r="F12" s="22" t="inlineStr"/>
    </row>
    <row r="13">
      <c r="A13" s="22" t="inlineStr">
        <is>
          <t>Loan book 1050202 at 31 Dec 2025 against the trial balance (accepted exception, spec 3.5: 1,000,000.00)</t>
        </is>
      </c>
      <c r="B13" s="25" t="n">
        <v>3808288656.15</v>
      </c>
      <c r="C13" s="25" t="n">
        <v>3809288656.15</v>
      </c>
      <c r="D13" s="22" t="n">
        <v>1</v>
      </c>
      <c r="E13" s="26">
        <f>IF(ABS(B13-C13)&lt;=D13,"PASS","FAIL")</f>
        <v/>
      </c>
      <c r="F13" s="22" t="inlineStr"/>
    </row>
    <row r="14">
      <c r="A14" s="22" t="inlineStr">
        <is>
          <t>Loan book 1050401 at 31 Dec 2025 against the trial balance</t>
        </is>
      </c>
      <c r="B14" s="25" t="n">
        <v>1827148120.69</v>
      </c>
      <c r="C14" s="25" t="n">
        <v>1827148120.69</v>
      </c>
      <c r="D14" s="22" t="n">
        <v>1</v>
      </c>
      <c r="E14" s="26">
        <f>IF(ABS(B14-C14)&lt;=D14,"PASS","FAIL")</f>
        <v/>
      </c>
      <c r="F14" s="22" t="inlineStr"/>
    </row>
  </sheetData>
  <conditionalFormatting sqref="E5:E14">
    <cfRule type="expression" priority="1" dxfId="0">
      <formula>$E5="PASS"</formula>
    </cfRule>
    <cfRule type="expression" priority="2" dxfId="2">
      <formula>$E5="FAIL"</formula>
    </cfRule>
  </conditionalFormatting>
  <hyperlinks>
    <hyperlink ref="A2" location="'Contents'!A1" display="Back to Contents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2026-10-14T06:30:26Z</dcterms:created>
  <dcterms:modified xmlns:dcterms="http://purl.org/dc/terms/" xmlns:xsi="http://www.w3.org/2001/XMLSchema-instance" xsi:type="dcterms:W3CDTF">2026-10-14T06:30:26Z</dcterms:modified>
</cp:coreProperties>
</file>